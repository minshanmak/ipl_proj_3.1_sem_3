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9b73b4f95ab3cae7/Desktop/OJL_sem_3/Proj_3.1/"/>
    </mc:Choice>
  </mc:AlternateContent>
  <xr:revisionPtr revIDLastSave="1" documentId="13_ncr:1_{E7A40C5B-45F7-4464-BCF2-2A84F210D85B}" xr6:coauthVersionLast="47" xr6:coauthVersionMax="47" xr10:uidLastSave="{350E6097-5937-4026-8F3A-D3D37B49331F}"/>
  <bookViews>
    <workbookView xWindow="1536" yWindow="0" windowWidth="17280" windowHeight="12240" tabRatio="500" firstSheet="1" activeTab="1"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Log'!$A$4:$F$35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6" l="1"/>
  <c r="C7" i="6"/>
  <c r="C6" i="6"/>
  <c r="C5" i="6"/>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alcChain>
</file>

<file path=xl/sharedStrings.xml><?xml version="1.0" encoding="utf-8"?>
<sst xmlns="http://schemas.openxmlformats.org/spreadsheetml/2006/main" count="951" uniqueCount="564">
  <si>
    <t>2. Relationships</t>
  </si>
  <si>
    <t>How the files/tables join. Every dataset in this programme is relational — this tab should never be empty.</t>
  </si>
  <si>
    <t>Table A</t>
  </si>
  <si>
    <t>Key Column (A)</t>
  </si>
  <si>
    <t>Table B</t>
  </si>
  <si>
    <t>Key Column (B)</t>
  </si>
  <si>
    <t>Relationship Type</t>
  </si>
  <si>
    <t>Description</t>
  </si>
  <si>
    <t>Sample_Customers.csv</t>
  </si>
  <si>
    <t>customer_id</t>
  </si>
  <si>
    <t>Sample_Transactions.csv</t>
  </si>
  <si>
    <t>One-to-Many</t>
  </si>
  <si>
    <t>EXAMPLE — each customer can have many transactions.</t>
  </si>
  <si>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</si>
  <si>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</si>
  <si>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</si>
  <si>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</si>
  <si>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</si>
  <si>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</si>
  <si>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</si>
  <si>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</si>
  <si>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</si>
  <si>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</si>
  <si>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</si>
  <si>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</si>
  <si>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</si>
  <si>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</si>
  <si>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</si>
  <si>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</si>
  <si>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</si>
  <si>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</si>
  <si>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</si>
  <si>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</si>
  <si>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</si>
  <si>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</si>
  <si>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</si>
  <si>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</si>
  <si>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</si>
  <si>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</si>
  <si>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</si>
  <si>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</si>
  <si>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</si>
  <si>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</si>
  <si>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</si>
  <si>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</si>
  <si>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</si>
  <si>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</si>
  <si>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</si>
  <si>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</si>
  <si>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</si>
  <si>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</si>
  <si>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Trainee name</t>
  </si>
  <si>
    <t>Date prepared</t>
  </si>
  <si>
    <t>Dataset source</t>
  </si>
  <si>
    <t>Business domain</t>
  </si>
  <si>
    <t>Business context — why this data matters</t>
  </si>
  <si>
    <t>Total files/tables in this dataset</t>
  </si>
  <si>
    <t>Total approximate size (all files combined)</t>
  </si>
  <si>
    <t>Blue = file info, once per file. Purple/navy/gold = one sheet's worth of columns. All five source files are catalogued below, one block each, in the order matches, deliveries, players, teams, venues. Every count, distinct value and missing percentage was computed on the FULL file with pandas (no sampling); see each block's "Sampling used?" cell.</t>
  </si>
  <si>
    <t>FILE / TABLE NAME</t>
  </si>
  <si>
    <t>matches.csv</t>
  </si>
  <si>
    <t>FILE DESCRIPTION</t>
  </si>
  <si>
    <t>Match-level record of every IPL match played from 2008 to 2026: season, date, venue, the two sides, the toss result and decision, the final outcome and the player of the match. One row per match. Joins to deliveries.csv on match_id.</t>
  </si>
  <si>
    <t>FILE STATS</t>
  </si>
  <si>
    <t>Format</t>
  </si>
  <si>
    <t>File Size</t>
  </si>
  <si>
    <t>Sampling used?</t>
  </si>
  <si>
    <t>CSV (UTF-8, comma-delimited)</t>
  </si>
  <si>
    <t>279 KB</t>
  </si>
  <si>
    <t>SHEET NAME</t>
  </si>
  <si>
    <t>matches  (a CSV holds a single sheet)</t>
  </si>
  <si>
    <t>SHEET DESCRIPTION</t>
  </si>
  <si>
    <t>One row per IPL match. Grain: match_id, verified unique at 1,212 distinct values over 1,212 rows.</t>
  </si>
  <si>
    <t>SHEET STATS</t>
  </si>
  <si>
    <t>Approx. Rows</t>
  </si>
  <si>
    <t>Approx. Cols</t>
  </si>
  <si>
    <t>COLUMN NAME  →</t>
  </si>
  <si>
    <t>match_id</t>
  </si>
  <si>
    <t>season_id</t>
  </si>
  <si>
    <t>balls_per_over</t>
  </si>
  <si>
    <t>city</t>
  </si>
  <si>
    <t>match_date</t>
  </si>
  <si>
    <t>event_name</t>
  </si>
  <si>
    <t>match_number</t>
  </si>
  <si>
    <t>gender</t>
  </si>
  <si>
    <t>match_type</t>
  </si>
  <si>
    <t>format</t>
  </si>
  <si>
    <t>overs</t>
  </si>
  <si>
    <t>season</t>
  </si>
  <si>
    <t>team_type</t>
  </si>
  <si>
    <t>venue</t>
  </si>
  <si>
    <t>toss_winner</t>
  </si>
  <si>
    <t>team1</t>
  </si>
  <si>
    <t>team2</t>
  </si>
  <si>
    <t>toss_decision</t>
  </si>
  <si>
    <t>match_winner</t>
  </si>
  <si>
    <t>win_by_runs</t>
  </si>
  <si>
    <t>win_by_wickets</t>
  </si>
  <si>
    <t>result</t>
  </si>
  <si>
    <t>player_of_match</t>
  </si>
  <si>
    <t>team1_id</t>
  </si>
  <si>
    <t>team2_id</t>
  </si>
  <si>
    <t>toss_winner_id</t>
  </si>
  <si>
    <t>match_winner_id</t>
  </si>
  <si>
    <t>player_of_match_id</t>
  </si>
  <si>
    <t>Business Description</t>
  </si>
  <si>
    <t>Unique identifier for the match, as issued by the source (Cricsheet). Defines the grain of this table.</t>
  </si>
  <si>
    <t>Season the match belongs to, as a 4-digit year.</t>
  </si>
  <si>
    <t>Number of legal balls per over for this match.</t>
  </si>
  <si>
    <t>City in which the match was played.</t>
  </si>
  <si>
    <t>Calendar date the match was played.</t>
  </si>
  <si>
    <t>Name of the competition.</t>
  </si>
  <si>
    <t>Sequential fixture number of the match within its season's league stage.</t>
  </si>
  <si>
    <t>Gender category of the competition.</t>
  </si>
  <si>
    <t>Format of the match.</t>
  </si>
  <si>
    <t>Scheduled overs per innings.</t>
  </si>
  <si>
    <t>Season label as printed by the source.</t>
  </si>
  <si>
    <t>Level of cricket the teams represent.</t>
  </si>
  <si>
    <t>Name of the ground where the match was played.</t>
  </si>
  <si>
    <t>Team that won the toss.</t>
  </si>
  <si>
    <t>First-named team in the fixture.</t>
  </si>
  <si>
    <t>Second-named team in the fixture.</t>
  </si>
  <si>
    <t>What the toss winner chose to do after winning the toss.</t>
  </si>
  <si>
    <t>Team recorded as winning the match.</t>
  </si>
  <si>
    <t>Victory margin in runs, when the team batting first won.</t>
  </si>
  <si>
    <t>Victory margin in wickets, when the chasing team won.</t>
  </si>
  <si>
    <t>Outcome type of the match.</t>
  </si>
  <si>
    <t>Player named player of the match.</t>
  </si>
  <si>
    <t>Numeric id of team1.</t>
  </si>
  <si>
    <t>Numeric id of team2.</t>
  </si>
  <si>
    <t>Numeric id of the toss-winning team.</t>
  </si>
  <si>
    <t>Numeric id of the winning team.</t>
  </si>
  <si>
    <t>Numeric id of the player of the match.</t>
  </si>
  <si>
    <t>Data Type</t>
  </si>
  <si>
    <t>ID/Key</t>
  </si>
  <si>
    <t>Numeric (Year)</t>
  </si>
  <si>
    <t>Numeric</t>
  </si>
  <si>
    <t>Categorical</t>
  </si>
  <si>
    <t>Date/Time</t>
  </si>
  <si>
    <t>Text</t>
  </si>
  <si>
    <t>Key Type</t>
  </si>
  <si>
    <t>Primary Key</t>
  </si>
  <si>
    <t>Foreign Key (no season table supplied)</t>
  </si>
  <si>
    <t>None</t>
  </si>
  <si>
    <t>Foreign Key (venues.venue, by name)</t>
  </si>
  <si>
    <t>Foreign Key (teams.team_name)</t>
  </si>
  <si>
    <t>Foreign Key (players.player_name, via player_of_match_id)</t>
  </si>
  <si>
    <t>Foreign Key (teams.team_id)</t>
  </si>
  <si>
    <t>Foreign Key (players.player_id)</t>
  </si>
  <si>
    <t>Sample Values</t>
  </si>
  <si>
    <t>335982, 1082591, 1082592, 1082593 ...</t>
  </si>
  <si>
    <t>2008, 2017, 2017, 2017 ...</t>
  </si>
  <si>
    <t>6, 6, 6, 6 ...</t>
  </si>
  <si>
    <t>Bangalore, Hyderabad, Pune, Rajkot ...</t>
  </si>
  <si>
    <t>2008-04-18, 2017-04-05, 2017-04-06 ...</t>
  </si>
  <si>
    <t>Indian Premier League ...</t>
  </si>
  <si>
    <t>1, 1, 2, 3 ...</t>
  </si>
  <si>
    <t>male ...</t>
  </si>
  <si>
    <t>T20 ...</t>
  </si>
  <si>
    <t>20, 20, 20, 20 ...</t>
  </si>
  <si>
    <t>club ...</t>
  </si>
  <si>
    <t>M Chinnaswamy Stadium, Rajiv Gandhi International Stadium Uppal, Maharashtra Cricket Association Stadium ...</t>
  </si>
  <si>
    <t>Royal Challengers Bangalore, Rising Pune Supergiant, Kolkata Knight Riders ...</t>
  </si>
  <si>
    <t>Royal Challengers Bangalore, Sunrisers Hyderabad, Rising Pune Supergiant ...</t>
  </si>
  <si>
    <t>Kolkata Knight Riders, Royal Challengers Bangalore, Mumbai Indians ...</t>
  </si>
  <si>
    <t>field, field, field, field ...</t>
  </si>
  <si>
    <t>Kolkata Knight Riders, Sunrisers Hyderabad, Rising Pune Supergiant ...</t>
  </si>
  <si>
    <t>140, 35, 15, 97 ...</t>
  </si>
  <si>
    <t>7, 10, 6, 9 ...</t>
  </si>
  <si>
    <t>win, win, win, win ...</t>
  </si>
  <si>
    <t>BB McCullum, Yuvraj Singh, SPD Smith, CA Lynn ...</t>
  </si>
  <si>
    <t>1, 2, 4, 5 ...</t>
  </si>
  <si>
    <t>6, 1, 3, 6 ...</t>
  </si>
  <si>
    <t>1, 1, 4, 6 ...</t>
  </si>
  <si>
    <t>6, 2, 4, 6 ...</t>
  </si>
  <si>
    <t>46, 15, 36, 57 ...</t>
  </si>
  <si>
    <t>Distinct Count</t>
  </si>
  <si>
    <t>Unique Values (if ≤20)</t>
  </si>
  <si>
    <t>—</t>
  </si>
  <si>
    <t>2008 to 2026, contiguous (19)</t>
  </si>
  <si>
    <t>6 (1)</t>
  </si>
  <si>
    <t>Indian Premier League (1)</t>
  </si>
  <si>
    <t>male (1)</t>
  </si>
  <si>
    <t>T20 (1)</t>
  </si>
  <si>
    <t>20 (1)</t>
  </si>
  <si>
    <t>2008 to 2019, 2020/21, then 2021 to 2026 (19)</t>
  </si>
  <si>
    <t>club (1)</t>
  </si>
  <si>
    <t>Chennai Super Kings, Delhi Capitals, Gujarat Lions, Gujarat Titans, Kochi Tuskers Kerala, Kolkata Knight Riders, Lucknow Super Giants, Mumbai Indians, Pune Warriors, Punjab Kings, Rajasthan Royals, Rising Pune Supergiant, Royal Challengers Bangalore, Sunrisers Hyderabad (14)</t>
  </si>
  <si>
    <t>Same 14 franchise names as toss_winner (14)</t>
  </si>
  <si>
    <t>bat, field (2)</t>
  </si>
  <si>
    <t>1 to 10, contiguous (10)</t>
  </si>
  <si>
    <t>no result, tie, win (3)</t>
  </si>
  <si>
    <t>1, 2, 3, 4, 5, 6, 129, 134, 252, 494, 614, 615, 1414, 1419 (14)</t>
  </si>
  <si>
    <t>Same 14 ids as team1_id (14)</t>
  </si>
  <si>
    <t>% Missing</t>
  </si>
  <si>
    <t>0%</t>
  </si>
  <si>
    <t>4.21%</t>
  </si>
  <si>
    <t>5.78%</t>
  </si>
  <si>
    <t>54.95%</t>
  </si>
  <si>
    <t>47.11%</t>
  </si>
  <si>
    <t>0.74%</t>
  </si>
  <si>
    <t>Data Quality Notes</t>
  </si>
  <si>
    <t>Clean: 1,212 distinct values over 1,212 rows, no duplicates. Not sequential and not a row counter (values run 335982 to 1529286), so never use it to order matches chronologically. Use match_date for that.</t>
  </si>
  <si>
    <t>Complete, 19 seasons. Disagrees with the `season` text column on 60 rows: the split season is 2020 here but '2020/21' there. Prefer season_id for grouping and for joining to deliveries.season_id, which uses the same integer form.</t>
  </si>
  <si>
    <t>Constant 6 on all 1,212 rows, so it carries no information and can explain no variation. Safe to drop. Keep only as a check that no non-standard over length is present.</t>
  </si>
  <si>
    <t>Two problems. (1) 4.21% missing (51 rows), all recoverable from venues.csv via the venue name. (2) One city appears under more than one name, so a naive GROUP BY city splits it: 'Bangalore' and 'Bengaluru' are the same city, and 'Chandigarh' / 'Mohali' / 'New Chandigarh' overlap for the same ground. Standardise before any city-level count.</t>
  </si>
  <si>
    <t>Complete, and already in ISO YYYY-MM-DD form so it sorts correctly even as text. Stored as text, not a date type: parse or CAST before any date arithmetic. 920 distinct dates over 1,212 matches because double-headers share a date. This is the only reliable way to order matches chronologically.</t>
  </si>
  <si>
    <t>Constant on all rows. Confirms the file is IPL-only with no other competition mixed in. No analytical value, safe to drop.</t>
  </si>
  <si>
    <t>5.78% missing (70 rows), and the gap is systematic rather than random: play-off matches (Qualifier 1 and 2, Eliminator, Final) carry no league fixture number, across 18 of the 19 seasons. Do not impute. Treat a null here as a flag for 'knockout match', which is a useful derived feature for the toss and chasing questions.</t>
  </si>
  <si>
    <t>Constant on all rows. No analytical value, safe to drop, but note it for scope: every finding from this dataset applies to the men's IPL only.</t>
  </si>
  <si>
    <t>Constant on all rows and an exact duplicate of `format`. Drop one of the two.</t>
  </si>
  <si>
    <t>Constant and a duplicate of match_type. Redundant, drop.</t>
  </si>
  <si>
    <t>Constant 20 on every row, including rain-shortened matches, so it records the scheduled allocation and not what was actually bowled. Do not use it to compute run rate or balls available; derive actual overs from deliveries.csv instead.</t>
  </si>
  <si>
    <t>Text rather than numeric because of the single value '2020/21' (60 rows). Sorting or averaging on this column misbehaves, and it will not join to deliveries.season_id. Use season_id for all grouping and joining; keep this only as a display label.</t>
  </si>
  <si>
    <t>Constant 'club' on all rows, confirming these are franchise sides and not national teams. No analytical value, safe to drop.</t>
  </si>
  <si>
    <t>The most serious quality issue in this file. No venue_id is supplied, so the only join to venues.csv is on this text. 59 distinct strings do NOT mean 59 grounds: the same ground appears under two or three spellings, e.g. 'M Chinnaswamy Stadium' / 'M.Chinnaswamy Stadium' / 'M Chinnaswamy Stadium, Bengaluru', and 'MA Chidambaram Stadium' / '..., Chepauk' / '..., Chepauk, Chennai'. Separately, some grounds were renamed and appear under both names: 'Feroz Shah Kotla' is now 'Arun Jaitley Stadium', 'Sardar Patel Stadium, Motera' is now 'Narendra Modi Stadium', 'Subrata Roy Sahara Stadium' is the 'Maharashtra Cricket Association Stadium', and 'Sheikh Zayed Stadium' is 'Zayed Cricket Stadium, Abu Dhabi'. Any venue-level work (Area I) must map these to one canonical ground key first, or home-ground records will be split and wrong.</t>
  </si>
  <si>
    <t>Complete, and the core input to the project's main question. All 14 names resolve to teams.csv. Note that only 14 of the 16 teams listed in teams.csv ever appear here.</t>
  </si>
  <si>
    <t>Complete. team1 is only the order in which the source listed the sides: it does NOT mean home team and it does NOT mean the team that batted first. Do not use it as a proxy for either. Batting order must come from deliveries.innings, and home advantage from venue.</t>
  </si>
  <si>
    <t>Complete. Positional only, with no home or batting-order meaning. Because a team can appear as either team1 or team2, any per-team total must union both columns (or both team1_id and team2_id), otherwise roughly half of each team's matches are missed.</t>
  </si>
  <si>
    <t>Clean, complete, only two values. With toss_winner and match_winner this is enough to answer the project's main question. Watch the semantics: the value describes the choice of the toss WINNER, so 'field' means the toss winner bowled first and the opposition batted first.</t>
  </si>
  <si>
    <t>Populated on all 1,212 rows with no blanks, which is misleading rather than reassuring: `result` records 16 ties and 9 no-results. A team is still named here for each of the 16 ties (the super-over winner) and for each of the 9 no-results, where no result was actually achieved. Counting wins from this column alone therefore overstates them by up to 25 matches. Always filter on result = 'win', or handle ties and no-results explicitly, before computing any win rate.</t>
  </si>
  <si>
    <t>The 54.95% missing is structural, not an error: this is populated only when the side batting first won. Verified mutually exclusive with win_by_wickets (0 rows carry both). Blank on every chase win plus the 25 tie and no-result matches. Do not impute or fill with 0, and never average it without stating the population as 'matches won defending a total'.</t>
  </si>
  <si>
    <t>Mirror image of win_by_runs and structurally missing in the same way: populated only when the chase succeeded. Together the two columns cover 1,187 matches, and the 25 rows blank in both are exactly the 16 ties plus 9 no-results. A non-null value here is a clean, reliable flag for 'the chase succeeded', which is the backbone of Area H.</t>
  </si>
  <si>
    <t>Clean and complete, and the single most important filter in this file: 1,187 'win', 16 'tie', 9 'no result'. Every win-rate, toss and chasing calculation must state which of the three it includes. The 9 no-results belong out of all outcome analysis, since a toss was held but no result was reached.</t>
  </si>
  <si>
    <t>The 0.74% missing is 9 rows, and they are exactly the 9 no-result matches, so the gap is fully explained and must not be imputed. Names are in the source's short form (initials plus surname), which matches players.player_name but NOT players.player_full_name.</t>
  </si>
  <si>
    <t>Complete, and verified consistent: every id maps to the same name in teams.csv on all rows, with 0 disagreements. Ids are not contiguous (they jump from 6 to 129 and on to 1419) because they come from the source's global team registry. Prefer the id columns over the name columns for joining, since ids are immune to spelling variants.</t>
  </si>
  <si>
    <t>Complete and verified consistent with teams.csv. Same caution as team1: union team1_id and team2_id to capture all of a team's matches.</t>
  </si>
  <si>
    <t>Complete and verified consistent with teams.csv. Always equals either team1_id or team2_id on the same row, which makes a useful integrity check.</t>
  </si>
  <si>
    <t>Complete and consistent with teams.csv, but it carries the same trap as match_winner: it is populated even for the 16 ties and 9 no-results. Filter on result = 'win' first.</t>
  </si>
  <si>
    <t>Verified: 100% of non-null values resolve to players.player_id. Missing on the same 9 no-result rows as player_of_match. Stored as a float because of those nulls, so cast to integer before joining.</t>
  </si>
  <si>
    <t>deliveries.csv</t>
  </si>
  <si>
    <t>Ball-by-ball record of every delivery bowled across the 1,212 matches: striker, bowler, non-striker, runs, extras, wickets and the batting and bowling side. One row per delivery. This is the primary source for all batting, bowling, phase and dismissal analysis. Joins to matches.csv on match_id.</t>
  </si>
  <si>
    <t>44.4 MB</t>
  </si>
  <si>
    <t>No, full file profiled. At 288,226 rows the file fits inside Excel's 1,048,576-row limit but is impractical to inspect by eye, so it was profiled in full with pandas rather than sampled. All figures below cover all 288,226 rows.</t>
  </si>
  <si>
    <t>deliveries  (a CSV holds a single sheet)</t>
  </si>
  <si>
    <t>One row per delivery bowled. Grain: match_id + innings + over_number + ball_number, verified unique (0 duplicate rows on that combination).</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</si>
  <si>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</si>
  <si>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</si>
  <si>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</si>
  <si>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</si>
  <si>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</si>
  <si>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</si>
  <si>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</si>
  <si>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</si>
  <si>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</si>
  <si>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</si>
  <si>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</si>
  <si>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</si>
  <si>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</si>
  <si>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</si>
  <si>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</si>
  <si>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</si>
  <si>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</si>
  <si>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</si>
  <si>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</si>
  <si>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</si>
  <si>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</si>
  <si>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</si>
  <si>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</si>
  <si>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</si>
  <si>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</si>
  <si>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</si>
  <si>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</si>
  <si>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</si>
  <si>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</si>
  <si>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</si>
  <si>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Season the delivery's match belongs to.</t>
  </si>
  <si>
    <t>Match the delivery belongs to.</t>
  </si>
  <si>
    <t>Player on strike for this delivery.</t>
  </si>
  <si>
    <t>Player who bowled this delivery.</t>
  </si>
  <si>
    <t>Player at the non-striker's end.</t>
  </si>
  <si>
    <t>Over within the innings.</t>
  </si>
  <si>
    <t>Ball within the over.</t>
  </si>
  <si>
    <t>Runs scored off the bat on this delivery.</t>
  </si>
  <si>
    <t>Total extra runs conceded on this delivery.</t>
  </si>
  <si>
    <t>All runs credited on this delivery.</t>
  </si>
  <si>
    <t>Batting hand of the striker.</t>
  </si>
  <si>
    <t>Bowling style of the bowler.</t>
  </si>
  <si>
    <t>Batter dismissed on this delivery.</t>
  </si>
  <si>
    <t>Fielders credited in the dismissal.</t>
  </si>
  <si>
    <t>Flag for whether the delivery took a wicket.</t>
  </si>
  <si>
    <t>Flag for a wide.</t>
  </si>
  <si>
    <t>Flag for a no-ball.</t>
  </si>
  <si>
    <t>Flag for leg byes conceded.</t>
  </si>
  <si>
    <t>Flag for byes conceded.</t>
  </si>
  <si>
    <t>Flag for penalty runs awarded.</t>
  </si>
  <si>
    <t>Runs awarded for the wide.</t>
  </si>
  <si>
    <t>Runs awarded for the no-ball.</t>
  </si>
  <si>
    <t>Leg-bye runs on the delivery.</t>
  </si>
  <si>
    <t>Bye runs on the delivery.</t>
  </si>
  <si>
    <t>Penalty runs on the delivery.</t>
  </si>
  <si>
    <t>How the batter was dismissed.</t>
  </si>
  <si>
    <t>Flag for a delivery bowled in a super over.</t>
  </si>
  <si>
    <t>Innings number within the match.</t>
  </si>
  <si>
    <t>Numeric id of the batting side.</t>
  </si>
  <si>
    <t>Numeric id of the bowling side.</t>
  </si>
  <si>
    <t>Name of the batting side.</t>
  </si>
  <si>
    <t>Name of the bowling side.</t>
  </si>
  <si>
    <t>Text (stringified list)</t>
  </si>
  <si>
    <t>Boolean (0/1)</t>
  </si>
  <si>
    <t>Foreign Key (matches.season_id)</t>
  </si>
  <si>
    <t>Foreign Key (matches.match_id)</t>
  </si>
  <si>
    <t>Foreign Key (players.player_name)</t>
  </si>
  <si>
    <t>Foreign Key (players.player_name, after parsing)</t>
  </si>
  <si>
    <t>2008, 2008, 2008, 2008 ...</t>
  </si>
  <si>
    <t>335982, 335982, 335982, 335982 ...</t>
  </si>
  <si>
    <t>SC Ganguly, BB McCullum, BB McCullum ...</t>
  </si>
  <si>
    <t>P Kumar, P Kumar, P Kumar ...</t>
  </si>
  <si>
    <t>BB McCullum, SC Ganguly, SC Ganguly ...</t>
  </si>
  <si>
    <t>0, 0, 0, 0 ...</t>
  </si>
  <si>
    <t>0, 1, 2, 3 ...</t>
  </si>
  <si>
    <t>1, 0, 1, 0 ...</t>
  </si>
  <si>
    <t>Left hand Bat, Right hand Bat ...</t>
  </si>
  <si>
    <t>Right arm Medium, Right arm Medium ...</t>
  </si>
  <si>
    <t>SC Ganguly, RT Ponting, DJ Hussey, R Dravid ...</t>
  </si>
  <si>
    <t>['JH Kallis'], ['P Kumar'], ['CL White'], [None] ...</t>
  </si>
  <si>
    <t>0, 0, 1, 0 ...</t>
  </si>
  <si>
    <t>1, 0, 0, 0 ...</t>
  </si>
  <si>
    <t>caught, caught, caught, bowled ...</t>
  </si>
  <si>
    <t>1, 1, 1, 1 ...</t>
  </si>
  <si>
    <t>Kolkata Knight Riders, Kolkata Knight Riders ...</t>
  </si>
  <si>
    <t>Royal Challengers Bangalore, Royal Challengers Bangalore ...</t>
  </si>
  <si>
    <t>0 to 19, contiguous (20)</t>
  </si>
  <si>
    <t>0 to 10, contiguous (11)</t>
  </si>
  <si>
    <t>0, 1, 2, 3, 4, 5, 6 (7)</t>
  </si>
  <si>
    <t>0, 1, 2, 3, 4, 5, 7 (7)</t>
  </si>
  <si>
    <t>0 to 7, contiguous (8)</t>
  </si>
  <si>
    <t>Left hand Bat, Right hand Bat (2)</t>
  </si>
  <si>
    <t>0, 1 (2)</t>
  </si>
  <si>
    <t>0, 1, 2, 3, 4, 5 (6)</t>
  </si>
  <si>
    <t>0, 1, 2, 3, 5 (5)</t>
  </si>
  <si>
    <t>0, 1, 2, 3, 4 (5)</t>
  </si>
  <si>
    <t>0, 5 (2)</t>
  </si>
  <si>
    <t>bowled, caught, caught and bowled, hit wicket, lbw, obstructing the field, retired hurt, retired out, run out, stumped (10)</t>
  </si>
  <si>
    <t>1, 2, 3, 4, 5, 6 (6)</t>
  </si>
  <si>
    <t>Same 14 ids as batting_team_id (14)</t>
  </si>
  <si>
    <t>Same 14 franchise names as matches.toss_winner (14)</t>
  </si>
  <si>
    <t>0.08%</t>
  </si>
  <si>
    <t>0.12%</t>
  </si>
  <si>
    <t>95.02%</t>
  </si>
  <si>
    <t>Complete, 19 seasons, and in integer form (2020, not '2020/21'), so it joins cleanly to matches.season_id. Denormalised from matches and repeated on every ball of a match, so never SUM or COUNT it as though it were a per-match value.</t>
  </si>
  <si>
    <t>Verified complete in both directions: all 1,212 matches in matches.csv appear here, and no match_id appears here that is absent there. Balls per match range from 22 to 269, the low end being abandoned or rain-shortened matches and the high end including super overs.</t>
  </si>
  <si>
    <t>Complete, and verified: every name used here resolves to players.player_name (0 unmatched out of the 795 distinct names across batter, bowler and non_striker). The link is by name only, since no batter_id is supplied, so any spelling change in the source would silently break it. 727 batters here against 799 players in the master, the difference being players who never faced a ball.</t>
  </si>
  <si>
    <t>Complete and fully resolvable to players.player_name, 568 distinct bowlers. As with batter, the join is by name with no id supplied.</t>
  </si>
  <si>
    <t>Complete and fully resolvable. Integrity check passes: 0 rows where batter equals non_striker. Useful for run-out and partnership work, not for batting aggregates, since facing a ball is recorded in `batter`.</t>
  </si>
  <si>
    <t>ZERO-BASED, not one-based: the first over is 0 and the last is 19. This is the easiest mistake to make in this dataset. Powerplay is over_number 0-5, middle 6-14, death 15-19. Writing 'over_number &lt;= 6' for the powerplay silently includes seven overs and corrupts every Area C phase figure.</t>
  </si>
  <si>
    <t>Zero-based like over_number. It runs past 5 (up to 10) because wides and no-balls add deliveries to an over, so an over is NOT a fixed 6 rows. Never count rows to get balls faced or overs bowled: exclude wides and no-balls first, or every strike-rate and economy denominator is wrong.</t>
  </si>
  <si>
    <t>Clean and complete, range 0-6 as expected. This is the column to SUM for a batter's runs; do not use total_runs, which includes extras the batter did not score. Boundaries are batter_runs = 4 and 6.</t>
  </si>
  <si>
    <t>Clean, complete and verified internally consistent: extras equals wide_ball_runs + no_ball_runs + leg_bye_runs + bye_runs + penalty_runs on all 288,226 rows, 0 exceptions. Note that not all extras are charged to the bowler's economy: wides and no-balls are, byes and leg byes are not.</t>
  </si>
  <si>
    <t>Clean, complete and verified: total_runs equals batter_runs + extras on all 288,226 rows, 0 exceptions. Use this for team totals and run rates, and batter_runs for individual batting. Confusing the two is the commonest cause of inflated batting figures.</t>
  </si>
  <si>
    <t>Only 0.08% missing (roughly 230 rows), so effectively complete. Denormalised from players.bat_style and repeated on every ball; where it disagrees with players.csv, treat players.csv as the master.</t>
  </si>
  <si>
    <t>Needs cleaning before Area E (pace vs spin) can be answered at all. Three problems: (1) one category is a single space ' ' rather than a null, so it escapes any IS NULL test; (2) styles are free text with inconsistent capitalisation, so 'Right arm Fast Medium' and 'Right arm Fast medium' are one style stored twice; (3) some rows hold several comma-joined styles for one bowler, e.g. 'Right arm Medium, Right arm Offbreak, Legbreak', which makes that bowler both pace and spin. A deliberate mapping to a pace/spin flag is required, with a documented rule for the multi-style bowlers.</t>
  </si>
  <si>
    <t>The 95.02% missing is expected, not a defect: only 14,340 of 288,226 deliveries take a wicket. Verified consistent with is_wicket = 1 and with wicket_kind, all three at exactly 14,340. The dismissed batter is not always the striker, since a run-out can remove the non-striker, so join on this column rather than assuming `batter` was the player out.</t>
  </si>
  <si>
    <t>Unusable as delivered. The values are Python list literals stored as text, e.g. "['JH Kallis']", so a direct join to players.player_name matches nothing until the brackets and quotes are stripped. Worse, 3,908 of the 14,340 non-null rows hold the literal string '[None]', a hidden null that no IS NULL or missing-value check will catch. Some rows list two fielders, so the column is multi-valued and must be split before any per-fielder count: the 1,129 distinct values are combinations, not 1,129 fielders.</t>
  </si>
  <si>
    <t>Clean and complete. Sums to 14,340, matching the non-null counts of player_out and wicket_kind exactly. Not all 14,340 are credited to the bowler: run outs (1,176), retired hurt (19) and retired out (6) are not bowler's wickets, so a bowling-wickets metric must exclude them.</t>
  </si>
  <si>
    <t>Clean and complete. Essential as an exclusion: a wide is neither a ball faced by the batter nor a legal ball, so it must be removed from strike-rate and overs-bowled denominators.</t>
  </si>
  <si>
    <t>Clean and complete. Like a wide, a no-ball is not a legal delivery and must be excluded when counting balls bowled. Unlike a wide, the batter can score off it, so batter_runs on a no-ball still counts as runs off the bat.</t>
  </si>
  <si>
    <t>Clean and complete. Leg byes are runs to the batting team but not to the batter, and are not charged to the bowler, so exclude them from both batting figures and bowling economy.</t>
  </si>
  <si>
    <t>Clean and complete. Same treatment as leg byes: team runs only, credited to neither the batter nor the bowler.</t>
  </si>
  <si>
    <t>Clean and complete, but extremely rare. Since penalty_runs only ever takes the value 5, penalties touch a handful of deliveries. They still count towards the team total.</t>
  </si>
  <si>
    <t>Clean and complete. Charged to the bowler's economy. Values above 1 occur when the batting side also ran, or the ball reached the boundary.</t>
  </si>
  <si>
    <t>Clean and complete. Charged to the bowler's economy. This is the penalty run only: runs the batter scored off the same no-ball sit in batter_runs.</t>
  </si>
  <si>
    <t>Clean and complete. NOT charged to the bowler's economy and not credited to the batter.</t>
  </si>
  <si>
    <t>Clean and complete. Not charged to the bowler and not credited to the batter.</t>
  </si>
  <si>
    <t>Clean and complete, but only ever 0 or 5, so it behaves as a flag rather than a measure. Counts towards the team total, charged to neither batter nor bowler.</t>
  </si>
  <si>
    <t>Missing on exactly the 273,886 deliveries that took no wicket, so the gap is structural. Distribution: caught 9,056, bowled 2,407, run out 1,176, lbw 873, caught and bowled 399, stumped 382, retired hurt 19, hit wicket 18, retired out 6, obstructing the field 4. Critical for Areas D and K: 'run out', 'retired hurt' and 'retired out' (1,201 dismissals together) are not credited to the bowler, and 'retired hurt' is not really a dismissal at all. Define the rule explicitly before counting anyone's wickets.</t>
  </si>
  <si>
    <t>Clean and complete. Sums to 175 deliveries, and those 175 are exactly the rows where innings &gt; 2, so the two columns agree perfectly. Exclude super-over deliveries from normal batting, bowling and phase analysis: they are a tie-break rather than part of a 20-over innings, and leaving them in quietly distorts death-overs and economy figures.</t>
  </si>
  <si>
    <t>Clean and complete, but do NOT assume it holds only 1 and 2. Counts are innings 1: 149,359, innings 2: 138,692, innings 3: 86, 4: 77, 5: 8, 6: 4, the last four being super-over innings that match is_super_over = 1 exactly. This column is how batting first is told from chasing, which makes it the backbone of Area H: innings 1 sets the target, innings 2 chases it.</t>
  </si>
  <si>
    <t>Complete, 14 distinct ids, all resolving to teams.csv. Prefer this over batting_team for joins and grouping, since ids are immune to team-name variants.</t>
  </si>
  <si>
    <t>Complete and resolvable to teams.csv. Always the opposite side to batting_team_id on the same row, which makes a useful integrity check.</t>
  </si>
  <si>
    <t>Complete, and unlike `venue` it uses current franchise names consistently with no spelling variants. Denormalised, so it repeats on every ball: use COUNT(DISTINCT match_id), never COUNT(*), when counting a team's matches.</t>
  </si>
  <si>
    <t>Complete and consistent with teams.csv, no spelling variants. Same denormalisation caution as batting_team.</t>
  </si>
  <si>
    <t>players.csv</t>
  </si>
  <si>
    <t>Player master. One row per player appearing anywhere in the dataset, with batting hand, bowling style, fielding role and full name.</t>
  </si>
  <si>
    <t>56 KB</t>
  </si>
  <si>
    <t>No, full file profiled. All 799 rows read with pandas.</t>
  </si>
  <si>
    <t>players  (a CSV holds a single sheet)</t>
  </si>
  <si>
    <t>One row per player. Grain: player_id, verified unique at 799 distinct values over 799 rows.</t>
  </si>
  <si>
    <t>player_id</t>
  </si>
  <si>
    <t>player_name</t>
  </si>
  <si>
    <t>bat_style</t>
  </si>
  <si>
    <t>bowl_style</t>
  </si>
  <si>
    <t>field_pos</t>
  </si>
  <si>
    <t>player_full_name</t>
  </si>
  <si>
    <t>Unique identifier for the player.</t>
  </si>
  <si>
    <t>Short-form name: initials plus surname.</t>
  </si>
  <si>
    <t>Batting hand.</t>
  </si>
  <si>
    <t>Bowling style.</t>
  </si>
  <si>
    <t>Fielding or wicketkeeping role.</t>
  </si>
  <si>
    <t>Full name of the player.</t>
  </si>
  <si>
    <t>Alternate Key (the join key used by deliveries)</t>
  </si>
  <si>
    <t>963, 53, 12, 268 ...</t>
  </si>
  <si>
    <t>MN Samuels, SB Jakati, DA Warner, RA Tripathi ...</t>
  </si>
  <si>
    <t>Right hand Bat, Left hand Bat, Left hand Bat ...</t>
  </si>
  <si>
    <t>Right arm Offbreak, Slow Left arm Orthodox, Legbreak ...</t>
  </si>
  <si>
    <t>(single space), (single space), (single space) ...</t>
  </si>
  <si>
    <t>Marlon Nathaniel Samuels, Shadab Bashir Jakati, David Andrew Warner ...</t>
  </si>
  <si>
    <t>'(single space)', Occasional Wicketkeeper, Right arm Fast, Right arm Medium, Slow Left arm Orthodox, Wicketkeeper, Wicketkeeper Batter (7)</t>
  </si>
  <si>
    <t>2.38%</t>
  </si>
  <si>
    <t>11.01%</t>
  </si>
  <si>
    <t>Clean: 799 distinct ids over 799 rows, no duplicates. Not contiguous, running from 1 to 45,986, because the ids come from the source's global player registry, so never read the maximum as a player count. Verified as the target of matches.player_of_match_id, where 100% of non-null values resolve.</t>
  </si>
  <si>
    <t>Complete and unique across all 799 rows, which is what makes it usable as a key. This is the ONLY link from deliveries.csv, whose batter, bowler, non_striker and player_out columns carry names and no ids; verified that all 795 distinct names used there resolve here. Unique today, but a name is a fragile key, since two players sharing initials and surname would collide. Prefer player_id wherever an id is available.</t>
  </si>
  <si>
    <t>Clean and complete: two values, no missing rows. This is the master for deliveries.batsman_type, which is this column denormalised onto every ball.</t>
  </si>
  <si>
    <t>2.38% formally missing (19 rows), but the true gap is larger because one category is a single space ' ' rather than a null, so IS NULL undercounts it. The 23 raw values need normalising before use: capitalisation is inconsistent ('Right arm Fast Medium' against 'Right arm Fast medium' is one style stored twice), 'Right arm Bowler' is too vague to classify as pace or spin, and 8 values are comma-joined multi-style entries such as 'Right arm Medium, Right arm Offbreak, Legbreak' that make a single bowler both pace and spin. Area E depends entirely on a documented mapping from these strings to a pace/spin flag.</t>
  </si>
  <si>
    <t>The weakest column in the dataset and effectively unusable without repair. Reported missing is 11.01% (88 nulls), but a further 612 rows hold a single space ' ' instead of a null, so 700 of 799 rows carry no real value and the TRUE missing rate is 87.6%, not 11%. The column is also contaminated: 3 rows hold a bowling style ('Right arm Fast', 'Right arm Medium', 'Slow Left arm Orthodox') where a fielding position belongs, so values from bowl_style have leaked in. Only the keeper labels mean anything, and even those are split across 'Wicketkeeper' (82), 'Occasional Wicketkeeper' (13) and 'Wicketkeeper Batter' (1), which must be consolidated to identify keepers. Do not use this column for general fielding analysis; derive fielders from deliveries.fielders_involved instead.</t>
  </si>
  <si>
    <t>Complete and unique. Useful for report and dashboard labels, where 'David Andrew Warner' reads better than 'DA Warner'. Do NOT use it as a join key to deliveries.csv, which stores the short form: joining on this column matches nothing.</t>
  </si>
  <si>
    <t>teams.csv</t>
  </si>
  <si>
    <t>Team master. One row per franchise name recorded in the dataset. The smallest file, and the one whose row count is most easily misread (see the note on team_name).</t>
  </si>
  <si>
    <t>372 bytes</t>
  </si>
  <si>
    <t>No, full file profiled. All 16 rows read with pandas.</t>
  </si>
  <si>
    <t>teams  (a CSV holds a single sheet)</t>
  </si>
  <si>
    <t>One row per team NAME, which is not the same as one row per team that played. Grain: team_id, unique at 16 rows, but only 14 of those ids ever appear in a match.</t>
  </si>
  <si>
    <t>team_id</t>
  </si>
  <si>
    <t>team_name</t>
  </si>
  <si>
    <t>Unique identifier for the team.</t>
  </si>
  <si>
    <t>Franchise name.</t>
  </si>
  <si>
    <t>Alternate Key</t>
  </si>
  <si>
    <t>1, 2, 3, 4 ...</t>
  </si>
  <si>
    <t>Royal Challengers Bangalore, Sunrisers Hyderabad, Mumbai Indians ...</t>
  </si>
  <si>
    <t>1, 2, 3, 4, 5, 6, 129, 134, 252, 494, 614, 615, 1068, 1414, 1419, 3604 (16)</t>
  </si>
  <si>
    <t>Chennai Super Kings, Deccan Chargers, Delhi Capitals, Gujarat Lions, Gujarat Titans, Kochi Tuskers Kerala, Kolkata Knight Riders, Lucknow Super Giants, Mumbai Indians, Pune Warriors, Punjab Kings, Rajasthan Royals, Rising Pune Supergiant, Rising Pune Supergiants, Royal Challengers Bangalore, Sunrisers Hyderabad (16)</t>
  </si>
  <si>
    <t>Clean as a key: 16 distinct ids over 16 rows. Not contiguous (1-6, then 129 up to 3604), as the ids come from the source's global registry. Referenced by six foreign keys: matches.team1_id, team2_id, toss_winner_id and match_winner_id, plus deliveries.batting_team_id and bowling_team_id. Only 14 of the 16 are ever used: 1068 (Deccan Chargers) and 3604 (Rising Pune Supergiants) appear in no match.</t>
  </si>
  <si>
    <t>Complete, but this table is why team counts disagree across the dataset. It holds 16 names for what are really 14 sides that ever played: 'Rising Pune Supergiant' (id 4) and 'Rising Pune Supergiants' (id 3604) differ by one letter and are the same franchise in its 2016 and 2017 spellings, while 'Deccan Chargers' (id 1068) is the pre-2013 identity of what matches.csv records as 'Sunrisers Hyderabad'. matches.csv and deliveries.csv are already normalised to the 14 current names and never reference ids 1068 or 3604, so joining FROM those files is safe, but COUNT(*) on this table answers 16, which is the wrong answer to 'how many teams played'. Rebranded sides (Delhi Daredevils to Delhi Capitals, Kings XI Punjab to Punjab Kings) appear under the current name only, so this file cannot tell you the name a team used in a given season.</t>
  </si>
  <si>
    <t>venues.csv</t>
  </si>
  <si>
    <t>Venue master. One row per venue record, giving the ground name and its city. Cannot be joined by id, only by name (see the note on venue_id).</t>
  </si>
  <si>
    <t>2.8 KB</t>
  </si>
  <si>
    <t>No, full file profiled. All 63 rows read with pandas.</t>
  </si>
  <si>
    <t>venues  (a CSV holds a single sheet)</t>
  </si>
  <si>
    <t>One row per venue RECORD, not per physical ground: 63 rows describe 59 distinct names, and some grounds hold two ids. Grain: venue_id.</t>
  </si>
  <si>
    <t>venue_id</t>
  </si>
  <si>
    <t>Unique identifier for the venue record.</t>
  </si>
  <si>
    <t>Name of the ground.</t>
  </si>
  <si>
    <t>City in which the ground is located.</t>
  </si>
  <si>
    <t>Foreign Key (matches.venue, by name)</t>
  </si>
  <si>
    <t>3.17%</t>
  </si>
  <si>
    <t>Technically clean as a key: 63 distinct contiguous values from 1 to 63, no duplicates or gaps. But it is ORPHANED. matches.csv has no venue_id column, so this id is referenced by no other file and cannot be used to join anything; the only available join is on the venue name text. It is also not a stable ground key, because the same physical ground holds more than one id (see venue).</t>
  </si>
  <si>
    <t>Complete, and verified to cover matches.csv fully: all 59 venue names used there resolve here, 0 unmatched. But 63 rows carry only 59 distinct names, so 4 names are duplicated across 8 rows, each giving one ground two different ids: 'Dr DY Patil Sports Academy, Mumbai' (ids 29 and 31), 'Dubai International Cricket Stadium' (19 and 27), 'Maharaja Yadavindra Singh International Cricket Stadium, Mullanpur' (40 and 62) and 'Sharjah Cricket Stadium' (20 and 26). A join on this name therefore fans out and duplicates match rows, inflating every venue-level count. De-duplicate to one row per ground before joining. The variant-spelling and ground-rename problem described under matches.venue applies here too.</t>
  </si>
  <si>
    <t>3.17% missing (2 rows), and both sit in the duplicate pairs above: venue_id 19 (Dubai) and 20 (Sharjah) have a blank city while their twins 27 and 26 carry 'Dubai' and 'Sharjah', so the gap is recoverable from within this same file. The duplicate pairs also disagree with each other, which makes city unreliable as a grouping key: ids 29 and 31 are the same Dr DY Patil ground but read 'Mumbai' and 'Navi Mumbai', and ids 40 and 62 read 'Mohali' and 'New Chandigarh'. As in matches.city, 'Bangalore' and 'Bengaluru' both appear for one city. Standardise before any city-level aggregation.</t>
  </si>
  <si>
    <t>Log issues as you find them during inspection — don't wait until the end.</t>
  </si>
  <si>
    <t>#</t>
  </si>
  <si>
    <t>File / Column Affected</t>
  </si>
  <si>
    <t>Issue Description</t>
  </si>
  <si>
    <t>Severity</t>
  </si>
  <si>
    <t>Recommended Action</t>
  </si>
  <si>
    <t>Status</t>
  </si>
  <si>
    <t>matches.csv / match_winner, match_winner_id</t>
  </si>
  <si>
    <t>Populated on all 1,212 rows with no blanks, but `result` records 16 ties and 9 no-results. A team is named even for the 9 matches where no result was ever reached, and for each tie the super-over winner is recorded as though it won the match. Counting wins from this column overstates them by up to 25 matches, which biases the project's main toss-versus-win question directly.</t>
  </si>
  <si>
    <t>Critical</t>
  </si>
  <si>
    <t>Never aggregate wins without filtering result = 'win'. Build a cleaned match view that sets match_winner to NULL where result &lt;&gt; 'win', and treat tie decided by super over as its own category.</t>
  </si>
  <si>
    <t>Open</t>
  </si>
  <si>
    <t>deliveries.csv / over_number, ball_number</t>
  </si>
  <si>
    <t>Both columns are ZERO-based: over_number runs 0-19 and ball_number 0-10. Any filter written as though they were 1-based silently shifts every phase boundary. Writing 'over_number &lt;= 6' for the powerplay returns seven overs instead of six, and the query still runs and still looks plausible.</t>
  </si>
  <si>
    <t>Define the phases once as powerplay 0-5, middle 6-14, death 15-19 in a shared view or CTE and reuse it everywhere. Never hardcode over ranges per query. Sanity-check that the powerplay covers exactly 6 overs per innings.</t>
  </si>
  <si>
    <t>matches.csv / venue</t>
  </si>
  <si>
    <t>The same physical ground is stored under two or three different names, so 59 distinct strings do not mean 59 grounds. Examples: 'M Chinnaswamy Stadium' / 'M.Chinnaswamy Stadium' / 'M Chinnaswamy Stadium, Bengaluru'; 'MA Chidambaram Stadium' / '..., Chepauk' / '..., Chepauk, Chennai'; 'Rajiv Gandhi International Stadium' in three forms; 'Punjab Cricket Association IS Bindra Stadium' in three forms. Home-ground and venue records split silently across the variants.</t>
  </si>
  <si>
    <t>Build a venue_canonical mapping table from the 59 raw strings to one key per physical ground, and join through it for all Area I venue analysis. Review the mapping by eye once; do not rely on fuzzy matching alone.</t>
  </si>
  <si>
    <t>venues.csv / venue, venue_id</t>
  </si>
  <si>
    <t>63 rows hold only 59 distinct names: 4 names are duplicated across 8 rows, each giving one ground two venue_ids. 'Dr DY Patil Sports Academy, Mumbai' (ids 29 and 31), 'Dubai International Cricket Stadium' (19 and 27), 'Maharaja Yadavindra Singh International Cricket Stadium, Mullanpur' (40 and 62), 'Sharjah Cricket Stadium' (20 and 26). Joining matches to venues on the name therefore fans out and duplicates match rows, inflating every venue-level count.</t>
  </si>
  <si>
    <t>De-duplicate venues to one row per ground before joining, keeping the row that has a non-null city. After joining, assert the match row count is still exactly 1,212 to prove no fan-out.</t>
  </si>
  <si>
    <t>deliveries.csv / fielders_involved</t>
  </si>
  <si>
    <t>Unusable as delivered. Values are Python list literals stored as text, e.g. "['JH Kallis']", so a direct join to players.player_name matches nothing. 3,908 of the 14,340 non-null rows hold the literal string '[None]', which is a hidden null that no IS NULL or missing-value check will catch. Some rows list two fielders, so the column is multi-valued and its 1,129 distinct values are combinations rather than 1,129 fielders.</t>
  </si>
  <si>
    <t>Parse the column: strip brackets and quotes, convert the literal '[None]' to a true NULL, then split multi-fielder rows into a separate delivery-to-fielder bridge table before attempting any per-fielder count.</t>
  </si>
  <si>
    <t>Separate from the spelling variants: several grounds were renamed during 2008-2026 and appear under both identities, so one ground is counted as two. 'Feroz Shah Kotla' is now 'Arun Jaitley Stadium'; 'Sardar Patel Stadium, Motera' is now 'Narendra Modi Stadium'; 'Subrata Roy Sahara Stadium' is the 'Maharashtra Cricket Association Stadium'; 'Sheikh Zayed Stadium' is 'Zayed Cricket Stadium, Abu Dhabi'. This is a knowledge problem, not a string-similarity one, so no amount of text matching will catch it.</t>
  </si>
  <si>
    <t>High</t>
  </si>
  <si>
    <t>Fold the rename pairs into the same canonical ground key used for issue 3, and keep the original string in its own column so season-accurate labels stay available for reporting.</t>
  </si>
  <si>
    <t>matches.csv / venue; venues.csv / venue_id</t>
  </si>
  <si>
    <t>matches.csv has no venue_id column, so the only available join to venues.csv is on free-text venue names. venue_id is consequently an orphaned key referenced by no other file, and the whole venue join depends on text that is already known to be inconsistent.</t>
  </si>
  <si>
    <t>After canonicalising the venue names, attach a surrogate venue key to the cleaned match view so all downstream queries join on an id rather than on text.</t>
  </si>
  <si>
    <t>deliveries.csv / ball_number, is_wide_ball, is_no_ball</t>
  </si>
  <si>
    <t>ball_number reaches 10, so an over is not a fixed 6 rows: wides and no-balls add deliveries. Counting rows to get balls faced, balls bowled or overs therefore produces wrong denominators for every strike rate and economy figure, while appearing to work.</t>
  </si>
  <si>
    <t>Compute legal balls as a count filtered on is_wide_ball = 0 AND is_no_ball = 0, and derive overs as legal_balls / 6.0. Never use an unfiltered COUNT(*) as a ball count.</t>
  </si>
  <si>
    <t>deliveries.csv / bowler_type; players.csv / bowl_style</t>
  </si>
  <si>
    <t>Bowling style is free text and cannot be classified as pace or spin without cleaning. One category is a single space ' ' rather than a null, so it escapes IS NULL. Capitalisation is inconsistent, making 'Right arm Fast Medium' and 'Right arm Fast medium' one style stored twice. 'Right arm Bowler' is too vague to classify. Eight values are comma-joined multi-style entries such as 'Right arm Medium, Right arm Offbreak, Legbreak', which make a single bowler both pace and spin. 21 raw values in deliveries, 23 in players.</t>
  </si>
  <si>
    <t>Build an explicit mapping covering all 23 raw strings to a pace/spin category: normalise case, convert ' ' to NULL, and apply a documented rule for multi-style bowlers such as classifying by the first listed style. Area E cannot begin until this mapping exists and is recorded.</t>
  </si>
  <si>
    <t>deliveries.csv / is_super_over, innings</t>
  </si>
  <si>
    <t>175 deliveries belong to super overs and sit in innings 3 to 6 (innings 3: 86, 4: 77, 5: 8, 6: 4). is_super_over = 1 matches those rows exactly. Left in, they distort death-overs, economy and strike-rate figures, because a super over is a tie-break rather than part of a 20-over innings. Any query assuming innings holds only 1 and 2 is silently wrong.</t>
  </si>
  <si>
    <t>Add is_super_over = 0 to all batting, bowling and phase analysis, and treat super overs as a separate population when analysing ties. State the exclusion wherever a figure is reported.</t>
  </si>
  <si>
    <t>deliveries.csv / wicket_kind, is_wicket</t>
  </si>
  <si>
    <t>is_wicket sums to 14,340, but 1,201 of those dismissals are not credited to the bowler: run out (1,176), retired hurt (19) and retired out (6). 'retired hurt' is not a dismissal at all. Computing bowler wickets as SUM(is_wicket) overstates every bowler's return.</t>
  </si>
  <si>
    <t>Define a bowler_wicket flag that excludes 'run out', 'retired hurt' and 'retired out', and state which definition each Area D or K figure uses.</t>
  </si>
  <si>
    <t>players.csv / field_pos</t>
  </si>
  <si>
    <t>The reported missing rate of 11.01% (88 nulls) badly understates the gap: a further 612 rows hold a single space ' ' instead of a null, so 700 of 799 rows carry no value and the true missing rate is 87.6%. Any profiling that trusts the null count will judge this column usable when it is not.</t>
  </si>
  <si>
    <t>Convert whitespace-only values to NULL before profiling, then re-measure the missing rate. Treat the column as unusable for general fielding analysis and derive fielders from deliveries.fielders_involved instead.</t>
  </si>
  <si>
    <t>teams.csv / team_name, team_id</t>
  </si>
  <si>
    <t>The table holds 16 names for the 14 sides that ever played, so COUNT(*) answers 16 to 'how many teams played', which is wrong. 'Rising Pune Supergiant' (id 4) and 'Rising Pune Supergiants' (id 3604) differ by a single letter and are the same franchise in its 2016 and 2017 spellings. 'Deccan Chargers' (id 1068) is the pre-2013 identity of what matches.csv records as 'Sunrisers Hyderabad'.</t>
  </si>
  <si>
    <t>Never count teams from this table. Derive the team list from the 14 ids actually used in matches, and add a franchise_id that groups the duplicate identities so historical seasons roll up correctly.</t>
  </si>
  <si>
    <t>matches.csv / overs</t>
  </si>
  <si>
    <t>Constant 20 on all 1,212 rows including rain-shortened matches, so it records the scheduled allocation rather than what was actually bowled. Used as a denominator for run rate or balls available, it gives wrong answers precisely for the shortened matches that most need care.</t>
  </si>
  <si>
    <t>Never use this column as a denominator. Derive actual overs and balls per innings from deliveries.csv, excluding wides and no-balls, and flag shortened innings explicitly.</t>
  </si>
  <si>
    <t>matches.csv / city</t>
  </si>
  <si>
    <t>4.21% missing (51 of 1,212 rows). The gap is fully recoverable rather than lost, because the venue name is present on every row and venues.csv carries the city for that ground.</t>
  </si>
  <si>
    <t>Medium</t>
  </si>
  <si>
    <t>Backfill city from venues.csv via the canonicalised venue name, then re-check for residual nulls and report how many were recovered.</t>
  </si>
  <si>
    <t>matches.csv / city; venues.csv / city</t>
  </si>
  <si>
    <t>The same city appears under more than one name, so GROUP BY city splits it. 'Bangalore' and 'Bengaluru' are one city, and 'Chandigarh' / 'Mohali' / 'New Chandigarh' overlap for the same ground. The 37 distinct strings therefore overstate the number of cities.</t>
  </si>
  <si>
    <t>Build a city canonical mapping alongside the venue mapping and apply it before any city-level aggregation.</t>
  </si>
  <si>
    <t>matches.csv / season, season_id</t>
  </si>
  <si>
    <t>The two columns disagree on 60 rows: the split season is the integer 2020 in season_id but the text '2020/21' in season. Because of that single value the season column is text, so it sorts and aggregates incorrectly and will not join to deliveries.season_id.</t>
  </si>
  <si>
    <t>Use season_id for all grouping and joining and keep season only as a display label. Document 2020/21 as a single season in any season-over-season chart for Area L.</t>
  </si>
  <si>
    <t>venues.csv / city</t>
  </si>
  <si>
    <t>3.17% missing (2 rows), and both sit inside the duplicate pairs: venue_id 19 (Dubai) and 20 (Sharjah) have a blank city while their twins 27 and 26 carry the value. The duplicate pairs also contradict each other, which makes city unreliable as a grouping key: ids 29 and 31 are the same Dr DY Patil ground but read 'Mumbai' and 'Navi Mumbai', and ids 40 and 62 read 'Mohali' and 'New Chandigarh'.</t>
  </si>
  <si>
    <t>Resolve this during the venue de-duplication in issue 4 by keeping the populated and more specific city value, and record which value was chosen for each pair.</t>
  </si>
  <si>
    <t>Beyond being 87.6% empty, the column is contaminated and inconsistent. Three rows hold a bowling style ('Right arm Fast', 'Right arm Medium', 'Slow Left arm Orthodox') where a fielding position belongs, so values from bowl_style have leaked in. The only meaningful content, the wicketkeeper role, is split across three labels: 'Wicketkeeper' (82), 'Occasional Wicketkeeper' (13) and 'Wicketkeeper Batter' (1).</t>
  </si>
  <si>
    <t>Null out the 3 leaked bowling styles, then derive a single is_wicketkeeper flag consolidating the three keeper labels, keeping 'Occasional' separately identifiable if squad-role analysis needs it.</t>
  </si>
  <si>
    <t>teams.csv / team_name</t>
  </si>
  <si>
    <t>Rebranded franchises appear under their current name only (Delhi Daredevils as 'Delhi Capitals', Kings XI Punjab as 'Punjab Kings'), so this file cannot tell you the name a team used in a given season. Ids 1068 and 3604 are orphaned and appear in no match.</t>
  </si>
  <si>
    <t>Accept the current-name normalisation for joining, but do not present pre-rebrand seasons under the current name without a footnote. Source a season-to-name history separately if Area L needs period-accurate labels.</t>
  </si>
  <si>
    <t>deliveries.csv / batter, bowler, non_striker, player_out</t>
  </si>
  <si>
    <t>All four link to players.csv by player NAME, because no player id is supplied on deliveries. All 795 distinct names currently resolve, so the join works today, but a name is a fragile key: two players sharing initials and surname would collide silently, and any source-side spelling change would break it.</t>
  </si>
  <si>
    <t>Join once to players on name to attach player_id, materialise that as a cleaned deliveries view, and assert the row count is unchanged at 288,226 to prove neither fan-out nor loss.</t>
  </si>
  <si>
    <t>deliveries.csv / season_id, batting_team, bowling_team, batsman_type</t>
  </si>
  <si>
    <t>These columns are denormalised from matches and players and repeat on every ball of a match. A COUNT here silently counts balls when the intent was matches, so a team's 'matches played' comes out in the tens of thousands, and a season's 'matches' likewise.</t>
  </si>
  <si>
    <t>Always use COUNT(DISTINCT match_id) for match-level counts taken from deliveries, and treat matches.csv as the authority for match-level attributes.</t>
  </si>
  <si>
    <t>matches.csv / team1, team2</t>
  </si>
  <si>
    <t>The two columns record only the order in which the source listed the sides. team1 is NOT the home team and NOT the team that batted first, though both are natural assumptions to make. A team also appears in either column, so any per-team aggregate reading only one of them misses roughly half of that team's matches.</t>
  </si>
  <si>
    <t>Union team1_id and team2_id, or unpivot to one row per team per match, for any per-team total. Take batting order from deliveries.innings and home advantage from venue, never from team1.</t>
  </si>
  <si>
    <t>venues.csv / venue_id</t>
  </si>
  <si>
    <t>venue_id is internally clean as a key (63 contiguous values, no duplicates or gaps) but is referenced by no other file, since matches.csv carries no venue_id. As delivered it cannot join anything, and it is not a stable ground identifier because one ground can hold two ids.</t>
  </si>
  <si>
    <t>Treat venue_id as an internal row id only. Create a canonical ground key during cleaning and use that as the join key instead.</t>
  </si>
  <si>
    <t>matches.csv / match_date</t>
  </si>
  <si>
    <t>Stored as text rather than a date type. It happens to be in ISO YYYY-MM-DD form so it sorts correctly as text, which masks the problem until date arithmetic is attempted and then fails or silently misbehaves.</t>
  </si>
  <si>
    <t>Low</t>
  </si>
  <si>
    <t>CAST to DATE in the cleaned view so date differences, month extraction and season boundaries all work correctly.</t>
  </si>
  <si>
    <t>matches.csv / balls_per_over, event_name, gender, match_type, format, overs, team_type</t>
  </si>
  <si>
    <t>Seven columns are constant across all 1,212 rows (6, 'Indian Premier League', 'male', 'T20', 'T20', 20, 'club'), so they carry no information and can explain no variation. match_type and format are exact duplicates of one another.</t>
  </si>
  <si>
    <t>Drop these from the analysis view to reduce noise, but record the constants once as the dataset's scope: men's IPL, T20, club sides, 6-ball overs. Note the separate caveat on `overs` raised in issue 14.</t>
  </si>
  <si>
    <t>matches.csv / match_number</t>
  </si>
  <si>
    <t>5.78% missing (70 rows), but the gap is systematic rather than random: play-off matches (Qualifier 1 and 2, Eliminator, Final) carry no league fixture number, across 18 of the 19 seasons. Imputing a value here would invent fixtures that never existed.</t>
  </si>
  <si>
    <t>Do not impute. Derive an is_knockout flag from the null instead, which is a useful control variable for the toss and chasing questions in Areas G and H.</t>
  </si>
  <si>
    <t>Accepted / Won't Fix</t>
  </si>
  <si>
    <t>matches.csv / win_by_runs, win_by_wickets</t>
  </si>
  <si>
    <t>Missing 54.95% and 47.11% respectively, but structurally so rather than through data loss: win_by_runs is populated only when the side batting first won, and win_by_wickets only when the chase succeeded. Verified mutually exclusive, with 0 rows holding both, and the 25 rows blank in both are exactly the 16 ties plus 9 no-results.</t>
  </si>
  <si>
    <t>Do not impute or fill with 0. Use a non-null win_by_wickets as the 'chase succeeded' flag for Area H, and always state the population when averaging either margin.</t>
  </si>
  <si>
    <t>deliveries.csv / player_out, wicket_kind, fielders_involved</t>
  </si>
  <si>
    <t>All three are 95.02% missing, which looks alarming but is structural: only 14,340 of 288,226 deliveries take a wicket. Verified internally consistent, with is_wicket, player_out and wicket_kind all at exactly 14,340.</t>
  </si>
  <si>
    <t>Document as expected and do not impute. Filter on is_wicket = 1 before any dismissal analysis so this missing rate is never reported as a defect.</t>
  </si>
  <si>
    <t>matches.csv / player_of_match, player_of_match_id</t>
  </si>
  <si>
    <t>0.74% missing (9 rows), and those 9 rows are exactly the no-result matches, so the gap is fully explained. player_of_match_id is stored as a float because of the nulls, which will render values as '46.0' if joined or displayed without casting.</t>
  </si>
  <si>
    <t>Leave the nulls in place and cast player_of_match_id to integer before joining to players.player_id.</t>
  </si>
  <si>
    <t>players.csv / player_full_name</t>
  </si>
  <si>
    <t>Holds the full legal name ('David Andrew Warner') while deliveries.csv stores the short form ('DA Warner'), so joining deliveries to players on this column matches nothing. An easy mistake, since it is the more human-readable of the two name columns.</t>
  </si>
  <si>
    <t>Join on player_name and use player_full_name only for report and dashboard labels.</t>
  </si>
  <si>
    <t>Fill this in last, once tabs 0-3 are complete. The totals below now reference all 5 file blocks on '1. Data Dictionary' (rows 4, 26, 48, 70, 92).</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</si>
  <si>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</si>
  <si>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</si>
  <si>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</si>
  <si>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</si>
  <si>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</si>
  <si>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</si>
  <si>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</si>
  <si>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</si>
  <si>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</si>
  <si>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</si>
  <si>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</si>
  <si>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</si>
  <si>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</si>
  <si>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</si>
  <si>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No</t>
  </si>
  <si>
    <t>IPL CRICKET ANALYTICS</t>
  </si>
  <si>
    <t>Company-provided SQLite database (ipl.db)</t>
  </si>
  <si>
    <t>Sports Analytics (Cricket)</t>
  </si>
  <si>
    <t>To analyze IPL matches and answer cricket-related questions such as whether winning the toss increases the probability of winning a match</t>
  </si>
  <si>
    <t>44.77mb</t>
  </si>
  <si>
    <t xml:space="preserve">Mohammed Minshan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</si>
</sst>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11"/>
      <color rgb="FFFFFFFF"/>
      <name val="Arial"/>
      <charset val="1"/>
    </font>
    <font>
      <b/>
      <sz val="9.5"/>
      <color rgb="FFFFFFFF"/>
      <name val="Arial"/>
    </font>
    <font>
      <b/>
      <sz val="9.5"/>
      <color rgb="FF1A1A1A"/>
      <name val="Arial"/>
    </font>
    <font>
      <sz val="9.5"/>
      <color rgb="FF1A1A1A"/>
      <name val="Arial"/>
    </font>
    <font>
      <b/>
      <sz val="8.5"/>
      <color rgb="FF5F5E5A"/>
      <name val="Arial"/>
    </font>
    <font>
      <sz val="10"/>
      <color rgb="FF1A1A1A"/>
      <name val="Arial"/>
    </font>
    <font>
      <sz val="10"/>
      <color rgb="FF1A1A1A"/>
      <name val="Arial"/>
      <family val="2"/>
    </font>
  </fonts>
  <fills count="13">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143963"/>
        <bgColor rgb="FF333399"/>
      </patternFill>
    </fill>
    <fill>
      <patternFill patternType="solid">
        <fgColor rgb="FF2E86DF"/>
      </patternFill>
    </fill>
    <fill>
      <patternFill patternType="solid">
        <fgColor rgb="FF5B6FBF"/>
      </patternFill>
    </fill>
    <fill>
      <patternFill patternType="solid">
        <fgColor rgb="FF143963"/>
      </patternFill>
    </fill>
    <fill>
      <patternFill patternType="solid">
        <fgColor rgb="FFE0A020"/>
      </patternFill>
    </fill>
    <fill>
      <patternFill patternType="solid">
        <fgColor rgb="FFFFF2A8"/>
      </patternFill>
    </fill>
    <fill>
      <patternFill patternType="solid">
        <fgColor rgb="FFF0F3F7"/>
      </patternFill>
    </fill>
  </fills>
  <borders count="5">
    <border>
      <left/>
      <right/>
      <top/>
      <bottom/>
      <diagonal/>
    </border>
    <border>
      <left style="thin">
        <color rgb="FFC9CFD8"/>
      </left>
      <right style="thin">
        <color rgb="FFC9CFD8"/>
      </right>
      <top style="thin">
        <color rgb="FFC9CFD8"/>
      </top>
      <bottom style="thin">
        <color rgb="FFC9CFD8"/>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40">
    <xf numFmtId="0" fontId="0" fillId="0" borderId="0" xfId="0"/>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2" fillId="3"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7" fillId="7" borderId="2" xfId="0" applyFont="1" applyFill="1" applyBorder="1" applyAlignment="1">
      <alignment horizontal="left" vertical="center" wrapText="1"/>
    </xf>
    <xf numFmtId="0" fontId="8" fillId="11" borderId="2" xfId="0" applyFont="1" applyFill="1" applyBorder="1" applyAlignment="1">
      <alignment horizontal="left" vertical="top" wrapText="1"/>
    </xf>
    <xf numFmtId="0" fontId="9" fillId="11" borderId="2" xfId="0" applyFont="1" applyFill="1" applyBorder="1" applyAlignment="1">
      <alignment horizontal="left" vertical="top" wrapText="1"/>
    </xf>
    <xf numFmtId="0" fontId="10" fillId="12" borderId="2" xfId="0" applyFont="1" applyFill="1" applyBorder="1" applyAlignment="1">
      <alignment horizontal="left" vertical="center" wrapText="1"/>
    </xf>
    <xf numFmtId="0" fontId="7" fillId="8" borderId="2" xfId="0" applyFont="1" applyFill="1" applyBorder="1" applyAlignment="1">
      <alignment horizontal="left" vertical="center" wrapText="1"/>
    </xf>
    <xf numFmtId="3" fontId="9" fillId="11" borderId="2" xfId="0" applyNumberFormat="1" applyFont="1" applyFill="1" applyBorder="1" applyAlignment="1">
      <alignment horizontal="left" vertical="top" wrapText="1"/>
    </xf>
    <xf numFmtId="0" fontId="7" fillId="9" borderId="2" xfId="0" applyFont="1" applyFill="1" applyBorder="1" applyAlignment="1">
      <alignment horizontal="left" vertical="center" wrapText="1"/>
    </xf>
    <xf numFmtId="0" fontId="8" fillId="10" borderId="2" xfId="0" applyFont="1" applyFill="1" applyBorder="1" applyAlignment="1">
      <alignment horizontal="left" vertical="center" wrapText="1"/>
    </xf>
    <xf numFmtId="0" fontId="11" fillId="11" borderId="2" xfId="0" applyFont="1" applyFill="1" applyBorder="1" applyAlignment="1">
      <alignment horizontal="center" vertical="center" wrapText="1"/>
    </xf>
    <xf numFmtId="0" fontId="11" fillId="11" borderId="2" xfId="0" applyFont="1" applyFill="1" applyBorder="1" applyAlignment="1">
      <alignment horizontal="left" vertical="top" wrapText="1"/>
    </xf>
    <xf numFmtId="14" fontId="4" fillId="2" borderId="0" xfId="0" applyNumberFormat="1" applyFont="1" applyFill="1" applyAlignment="1">
      <alignment horizontal="left" vertical="center" wrapText="1"/>
    </xf>
    <xf numFmtId="0" fontId="12" fillId="2" borderId="0" xfId="0" applyFont="1" applyFill="1" applyAlignment="1">
      <alignment vertical="center" wrapText="1"/>
    </xf>
    <xf numFmtId="0" fontId="4" fillId="2" borderId="0" xfId="0" applyFont="1" applyFill="1" applyAlignment="1">
      <alignment horizontal="left" vertical="center" wrapText="1"/>
    </xf>
    <xf numFmtId="0" fontId="1" fillId="0" borderId="0" xfId="0" applyFont="1"/>
    <xf numFmtId="0" fontId="0" fillId="0" borderId="0" xfId="0"/>
    <xf numFmtId="0" fontId="10" fillId="12" borderId="2" xfId="0" applyFont="1" applyFill="1" applyBorder="1" applyAlignment="1">
      <alignment horizontal="left" vertical="center" wrapText="1"/>
    </xf>
    <xf numFmtId="0" fontId="0" fillId="0" borderId="3" xfId="0" applyBorder="1"/>
    <xf numFmtId="0" fontId="0" fillId="0" borderId="4" xfId="0" applyBorder="1"/>
    <xf numFmtId="0" fontId="9" fillId="11" borderId="2" xfId="0" applyFont="1" applyFill="1" applyBorder="1" applyAlignment="1">
      <alignment horizontal="left" vertical="top" wrapText="1"/>
    </xf>
    <xf numFmtId="0" fontId="8" fillId="11" borderId="2" xfId="0" applyFont="1" applyFill="1" applyBorder="1" applyAlignment="1">
      <alignment horizontal="left" vertical="top" wrapText="1"/>
    </xf>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customHeight="1" x14ac:dyDescent="0.4">
      <c r="B2" s="2" t="s">
        <v>13</v>
      </c>
    </row>
    <row r="3" spans="2:3" x14ac:dyDescent="0.3">
      <c r="B3" s="1" t="s">
        <v>14</v>
      </c>
    </row>
    <row r="5" spans="2:3" ht="39.6" customHeight="1" x14ac:dyDescent="0.3">
      <c r="B5" s="3" t="s">
        <v>15</v>
      </c>
      <c r="C5" s="4" t="s">
        <v>16</v>
      </c>
    </row>
    <row r="7" spans="2:3" x14ac:dyDescent="0.3">
      <c r="B7" s="3" t="s">
        <v>17</v>
      </c>
      <c r="C7" s="5" t="s">
        <v>18</v>
      </c>
    </row>
    <row r="8" spans="2:3" x14ac:dyDescent="0.3">
      <c r="B8" s="4" t="s">
        <v>19</v>
      </c>
      <c r="C8" s="4" t="s">
        <v>20</v>
      </c>
    </row>
    <row r="9" spans="2:3" ht="26.4" customHeight="1" x14ac:dyDescent="0.3">
      <c r="B9" s="4" t="s">
        <v>21</v>
      </c>
      <c r="C9" s="4" t="s">
        <v>22</v>
      </c>
    </row>
    <row r="10" spans="2:3" ht="26.4" customHeight="1" x14ac:dyDescent="0.3">
      <c r="B10" s="4" t="s">
        <v>0</v>
      </c>
      <c r="C10" s="4" t="s">
        <v>23</v>
      </c>
    </row>
    <row r="11" spans="2:3" ht="26.4" customHeight="1" x14ac:dyDescent="0.3">
      <c r="B11" s="4" t="s">
        <v>24</v>
      </c>
      <c r="C11" s="4" t="s">
        <v>25</v>
      </c>
    </row>
    <row r="12" spans="2:3" ht="26.4" customHeight="1" x14ac:dyDescent="0.3">
      <c r="B12" s="4" t="s">
        <v>26</v>
      </c>
      <c r="C12" s="4" t="s">
        <v>27</v>
      </c>
    </row>
    <row r="14" spans="2:3" ht="144.75" customHeight="1" x14ac:dyDescent="0.3">
      <c r="B14" s="3" t="s">
        <v>28</v>
      </c>
      <c r="C14" s="4" t="s">
        <v>29</v>
      </c>
    </row>
    <row r="16" spans="2:3" ht="64.5" customHeight="1" x14ac:dyDescent="0.3">
      <c r="B16" s="3" t="s">
        <v>30</v>
      </c>
      <c r="C16" s="4" t="s">
        <v>31</v>
      </c>
    </row>
    <row r="18" spans="2:3" ht="49.5" customHeight="1" x14ac:dyDescent="0.3">
      <c r="B18" s="3" t="s">
        <v>32</v>
      </c>
      <c r="C18" s="4" t="s">
        <v>33</v>
      </c>
    </row>
    <row r="20" spans="2:3" ht="64.5" customHeight="1" x14ac:dyDescent="0.3">
      <c r="B20" s="3" t="s">
        <v>34</v>
      </c>
      <c r="C20" s="4" t="s">
        <v>35</v>
      </c>
    </row>
    <row r="22" spans="2:3" ht="90" customHeight="1" x14ac:dyDescent="0.3">
      <c r="B22" s="3" t="s">
        <v>36</v>
      </c>
      <c r="C22" s="4" t="s">
        <v>37</v>
      </c>
    </row>
    <row r="24" spans="2:3" x14ac:dyDescent="0.3">
      <c r="B24" s="3" t="s">
        <v>38</v>
      </c>
    </row>
    <row r="25" spans="2:3" x14ac:dyDescent="0.3">
      <c r="B25" s="6" t="s">
        <v>39</v>
      </c>
      <c r="C25" s="5" t="s">
        <v>40</v>
      </c>
    </row>
    <row r="26" spans="2:3" ht="26.4" customHeight="1" x14ac:dyDescent="0.3">
      <c r="B26" s="7" t="s">
        <v>41</v>
      </c>
      <c r="C26" s="4" t="s">
        <v>42</v>
      </c>
    </row>
    <row r="27" spans="2:3" x14ac:dyDescent="0.3">
      <c r="B27" s="8" t="s">
        <v>43</v>
      </c>
      <c r="C27" s="5" t="s">
        <v>44</v>
      </c>
    </row>
    <row r="28" spans="2:3" ht="26.4" customHeight="1" x14ac:dyDescent="0.3">
      <c r="B28" s="9" t="s">
        <v>45</v>
      </c>
      <c r="C28" s="4" t="s">
        <v>46</v>
      </c>
    </row>
    <row r="31" spans="2:3" ht="26.4" customHeight="1" x14ac:dyDescent="0.3">
      <c r="B31" s="3" t="s">
        <v>47</v>
      </c>
      <c r="C31" s="4" t="s">
        <v>48</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tabSelected="1" zoomScaleNormal="100" workbookViewId="0">
      <selection activeCell="C7" sqref="C7"/>
    </sheetView>
  </sheetViews>
  <sheetFormatPr defaultColWidth="8.6640625" defaultRowHeight="14.4" x14ac:dyDescent="0.3"/>
  <cols>
    <col min="1" max="1" width="3" customWidth="1"/>
    <col min="2" max="2" width="30" customWidth="1"/>
    <col min="3" max="3" width="70" customWidth="1"/>
  </cols>
  <sheetData>
    <row r="2" spans="2:3" ht="21" customHeight="1" x14ac:dyDescent="0.4">
      <c r="B2" s="2" t="s">
        <v>19</v>
      </c>
    </row>
    <row r="3" spans="2:3" x14ac:dyDescent="0.3">
      <c r="B3" s="1" t="s">
        <v>49</v>
      </c>
    </row>
    <row r="5" spans="2:3" ht="19.5" customHeight="1" x14ac:dyDescent="0.3">
      <c r="B5" s="10" t="s">
        <v>50</v>
      </c>
      <c r="C5" s="11" t="s">
        <v>558</v>
      </c>
    </row>
    <row r="6" spans="2:3" ht="19.5" customHeight="1" x14ac:dyDescent="0.3">
      <c r="B6" s="10" t="s">
        <v>51</v>
      </c>
      <c r="C6" s="11" t="s">
        <v>563</v>
      </c>
    </row>
    <row r="7" spans="2:3" ht="19.5" customHeight="1" x14ac:dyDescent="0.3">
      <c r="B7" s="10" t="s">
        <v>52</v>
      </c>
      <c r="C7" s="29">
        <v>46251</v>
      </c>
    </row>
    <row r="8" spans="2:3" ht="19.5" customHeight="1" x14ac:dyDescent="0.3">
      <c r="B8" s="10" t="s">
        <v>53</v>
      </c>
      <c r="C8" s="11" t="s">
        <v>559</v>
      </c>
    </row>
    <row r="9" spans="2:3" ht="19.5" customHeight="1" x14ac:dyDescent="0.3">
      <c r="B9" s="10" t="s">
        <v>54</v>
      </c>
      <c r="C9" s="11" t="s">
        <v>560</v>
      </c>
    </row>
    <row r="10" spans="2:3" ht="31.5" customHeight="1" x14ac:dyDescent="0.3">
      <c r="B10" s="10" t="s">
        <v>55</v>
      </c>
      <c r="C10" s="30" t="s">
        <v>561</v>
      </c>
    </row>
    <row r="11" spans="2:3" ht="19.5" customHeight="1" x14ac:dyDescent="0.3">
      <c r="B11" s="10" t="s">
        <v>56</v>
      </c>
      <c r="C11" s="31">
        <v>5</v>
      </c>
    </row>
    <row r="12" spans="2:3" ht="31.5" customHeight="1" x14ac:dyDescent="0.3">
      <c r="B12" s="10" t="s">
        <v>57</v>
      </c>
      <c r="C12" s="30" t="s">
        <v>562</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G109"/>
  <sheetViews>
    <sheetView showGridLines="0" zoomScaleNormal="100" workbookViewId="0">
      <pane xSplit="1" ySplit="3" topLeftCell="B30" activePane="bottomRight" state="frozen"/>
      <selection pane="topRight"/>
      <selection pane="bottomLeft" activeCell="A4" sqref="A4"/>
      <selection pane="bottomRight" activeCell="D7" sqref="D7:AG7"/>
    </sheetView>
  </sheetViews>
  <sheetFormatPr defaultColWidth="8.6640625" defaultRowHeight="14.4" x14ac:dyDescent="0.3"/>
  <cols>
    <col min="1" max="1" width="26" customWidth="1"/>
    <col min="2" max="33" width="30" customWidth="1"/>
  </cols>
  <sheetData>
    <row r="1" spans="1:33" ht="21" customHeight="1" x14ac:dyDescent="0.4">
      <c r="A1" s="32" t="s">
        <v>21</v>
      </c>
      <c r="B1" s="33"/>
      <c r="C1" s="33"/>
      <c r="D1" s="33"/>
      <c r="E1" s="33"/>
      <c r="F1" s="33"/>
      <c r="G1" s="33"/>
      <c r="H1" s="33"/>
      <c r="I1" s="33"/>
      <c r="J1" s="33"/>
      <c r="K1" s="33"/>
      <c r="L1" s="33"/>
      <c r="M1" s="33"/>
      <c r="N1" s="33"/>
      <c r="O1" s="33"/>
      <c r="P1" s="33"/>
      <c r="Q1" s="33"/>
      <c r="R1" s="33"/>
      <c r="S1" s="33"/>
      <c r="T1" s="33"/>
      <c r="U1" s="33"/>
    </row>
    <row r="2" spans="1:33" x14ac:dyDescent="0.3">
      <c r="A2" s="39" t="s">
        <v>58</v>
      </c>
      <c r="B2" s="33"/>
      <c r="C2" s="33"/>
      <c r="D2" s="33"/>
      <c r="E2" s="33"/>
      <c r="F2" s="33"/>
      <c r="G2" s="33"/>
      <c r="H2" s="33"/>
      <c r="I2" s="33"/>
      <c r="J2" s="33"/>
      <c r="K2" s="33"/>
      <c r="L2" s="33"/>
      <c r="M2" s="33"/>
      <c r="N2" s="33"/>
      <c r="O2" s="33"/>
      <c r="P2" s="33"/>
      <c r="Q2" s="33"/>
      <c r="R2" s="33"/>
      <c r="S2" s="33"/>
      <c r="T2" s="33"/>
      <c r="U2" s="33"/>
    </row>
    <row r="4" spans="1:33" ht="16.05" customHeight="1" x14ac:dyDescent="0.3">
      <c r="A4" s="19" t="s">
        <v>59</v>
      </c>
      <c r="B4" s="38" t="s">
        <v>60</v>
      </c>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c r="AG4" s="36"/>
    </row>
    <row r="5" spans="1:33" ht="24" customHeight="1" x14ac:dyDescent="0.3">
      <c r="A5" s="19" t="s">
        <v>61</v>
      </c>
      <c r="B5" s="37" t="s">
        <v>62</v>
      </c>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6"/>
    </row>
    <row r="6" spans="1:33" ht="13.5" customHeight="1" x14ac:dyDescent="0.3">
      <c r="A6" s="19" t="s">
        <v>63</v>
      </c>
      <c r="B6" s="22" t="s">
        <v>64</v>
      </c>
      <c r="C6" s="22" t="s">
        <v>65</v>
      </c>
      <c r="D6" s="34" t="s">
        <v>66</v>
      </c>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6"/>
    </row>
    <row r="7" spans="1:33" ht="24" customHeight="1" x14ac:dyDescent="0.3">
      <c r="A7" s="19"/>
      <c r="B7" s="21" t="s">
        <v>67</v>
      </c>
      <c r="C7" s="21" t="s">
        <v>68</v>
      </c>
      <c r="D7" s="37" t="s">
        <v>557</v>
      </c>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6"/>
    </row>
    <row r="8" spans="1:33" ht="16.05" customHeight="1" x14ac:dyDescent="0.3">
      <c r="A8" s="23" t="s">
        <v>69</v>
      </c>
      <c r="B8" s="38" t="s">
        <v>70</v>
      </c>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6"/>
    </row>
    <row r="9" spans="1:33" ht="16.05" customHeight="1" x14ac:dyDescent="0.3">
      <c r="A9" s="23" t="s">
        <v>71</v>
      </c>
      <c r="B9" s="37" t="s">
        <v>72</v>
      </c>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6"/>
    </row>
    <row r="10" spans="1:33" ht="13.5" customHeight="1" x14ac:dyDescent="0.3">
      <c r="A10" s="23" t="s">
        <v>73</v>
      </c>
      <c r="B10" s="22" t="s">
        <v>74</v>
      </c>
      <c r="C10" s="22" t="s">
        <v>75</v>
      </c>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row>
    <row r="11" spans="1:33" ht="16.05" customHeight="1" x14ac:dyDescent="0.3">
      <c r="A11" s="23"/>
      <c r="B11" s="24">
        <v>1212</v>
      </c>
      <c r="C11" s="24">
        <v>28</v>
      </c>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row>
    <row r="12" spans="1:33" ht="6" customHeight="1" x14ac:dyDescent="0.3"/>
    <row r="13" spans="1:33" ht="15" customHeight="1" x14ac:dyDescent="0.3">
      <c r="A13" s="25" t="s">
        <v>76</v>
      </c>
      <c r="B13" s="20" t="s">
        <v>77</v>
      </c>
      <c r="C13" s="20" t="s">
        <v>78</v>
      </c>
      <c r="D13" s="20" t="s">
        <v>79</v>
      </c>
      <c r="E13" s="20" t="s">
        <v>80</v>
      </c>
      <c r="F13" s="20" t="s">
        <v>81</v>
      </c>
      <c r="G13" s="20" t="s">
        <v>82</v>
      </c>
      <c r="H13" s="20" t="s">
        <v>83</v>
      </c>
      <c r="I13" s="20" t="s">
        <v>84</v>
      </c>
      <c r="J13" s="20" t="s">
        <v>85</v>
      </c>
      <c r="K13" s="20" t="s">
        <v>86</v>
      </c>
      <c r="L13" s="20" t="s">
        <v>87</v>
      </c>
      <c r="M13" s="20" t="s">
        <v>88</v>
      </c>
      <c r="N13" s="20" t="s">
        <v>89</v>
      </c>
      <c r="O13" s="20" t="s">
        <v>90</v>
      </c>
      <c r="P13" s="20" t="s">
        <v>91</v>
      </c>
      <c r="Q13" s="20" t="s">
        <v>92</v>
      </c>
      <c r="R13" s="20" t="s">
        <v>93</v>
      </c>
      <c r="S13" s="20" t="s">
        <v>94</v>
      </c>
      <c r="T13" s="20" t="s">
        <v>95</v>
      </c>
      <c r="U13" s="20" t="s">
        <v>96</v>
      </c>
      <c r="V13" s="20" t="s">
        <v>97</v>
      </c>
      <c r="W13" s="20" t="s">
        <v>98</v>
      </c>
      <c r="X13" s="20" t="s">
        <v>99</v>
      </c>
      <c r="Y13" s="20" t="s">
        <v>100</v>
      </c>
      <c r="Z13" s="20" t="s">
        <v>101</v>
      </c>
      <c r="AA13" s="20" t="s">
        <v>102</v>
      </c>
      <c r="AB13" s="20" t="s">
        <v>103</v>
      </c>
      <c r="AC13" s="20" t="s">
        <v>104</v>
      </c>
    </row>
    <row r="14" spans="1:33" ht="48" customHeight="1" x14ac:dyDescent="0.3">
      <c r="A14" s="25" t="s">
        <v>105</v>
      </c>
      <c r="B14" s="21" t="s">
        <v>106</v>
      </c>
      <c r="C14" s="21" t="s">
        <v>107</v>
      </c>
      <c r="D14" s="21" t="s">
        <v>108</v>
      </c>
      <c r="E14" s="21" t="s">
        <v>109</v>
      </c>
      <c r="F14" s="21" t="s">
        <v>110</v>
      </c>
      <c r="G14" s="21" t="s">
        <v>111</v>
      </c>
      <c r="H14" s="21" t="s">
        <v>112</v>
      </c>
      <c r="I14" s="21" t="s">
        <v>113</v>
      </c>
      <c r="J14" s="21" t="s">
        <v>114</v>
      </c>
      <c r="K14" s="21" t="s">
        <v>114</v>
      </c>
      <c r="L14" s="21" t="s">
        <v>115</v>
      </c>
      <c r="M14" s="21" t="s">
        <v>116</v>
      </c>
      <c r="N14" s="21" t="s">
        <v>117</v>
      </c>
      <c r="O14" s="21" t="s">
        <v>118</v>
      </c>
      <c r="P14" s="21" t="s">
        <v>119</v>
      </c>
      <c r="Q14" s="21" t="s">
        <v>120</v>
      </c>
      <c r="R14" s="21" t="s">
        <v>121</v>
      </c>
      <c r="S14" s="21" t="s">
        <v>122</v>
      </c>
      <c r="T14" s="21" t="s">
        <v>123</v>
      </c>
      <c r="U14" s="21" t="s">
        <v>124</v>
      </c>
      <c r="V14" s="21" t="s">
        <v>125</v>
      </c>
      <c r="W14" s="21" t="s">
        <v>126</v>
      </c>
      <c r="X14" s="21" t="s">
        <v>127</v>
      </c>
      <c r="Y14" s="21" t="s">
        <v>128</v>
      </c>
      <c r="Z14" s="21" t="s">
        <v>129</v>
      </c>
      <c r="AA14" s="21" t="s">
        <v>130</v>
      </c>
      <c r="AB14" s="21" t="s">
        <v>131</v>
      </c>
      <c r="AC14" s="21" t="s">
        <v>132</v>
      </c>
    </row>
    <row r="15" spans="1:33" ht="15" customHeight="1" x14ac:dyDescent="0.3">
      <c r="A15" s="25" t="s">
        <v>133</v>
      </c>
      <c r="B15" s="21" t="s">
        <v>134</v>
      </c>
      <c r="C15" s="21" t="s">
        <v>135</v>
      </c>
      <c r="D15" s="21" t="s">
        <v>136</v>
      </c>
      <c r="E15" s="21" t="s">
        <v>137</v>
      </c>
      <c r="F15" s="21" t="s">
        <v>138</v>
      </c>
      <c r="G15" s="21" t="s">
        <v>137</v>
      </c>
      <c r="H15" s="21" t="s">
        <v>136</v>
      </c>
      <c r="I15" s="21" t="s">
        <v>137</v>
      </c>
      <c r="J15" s="21" t="s">
        <v>137</v>
      </c>
      <c r="K15" s="21" t="s">
        <v>137</v>
      </c>
      <c r="L15" s="21" t="s">
        <v>136</v>
      </c>
      <c r="M15" s="21" t="s">
        <v>139</v>
      </c>
      <c r="N15" s="21" t="s">
        <v>137</v>
      </c>
      <c r="O15" s="21" t="s">
        <v>137</v>
      </c>
      <c r="P15" s="21" t="s">
        <v>137</v>
      </c>
      <c r="Q15" s="21" t="s">
        <v>137</v>
      </c>
      <c r="R15" s="21" t="s">
        <v>137</v>
      </c>
      <c r="S15" s="21" t="s">
        <v>137</v>
      </c>
      <c r="T15" s="21" t="s">
        <v>137</v>
      </c>
      <c r="U15" s="21" t="s">
        <v>136</v>
      </c>
      <c r="V15" s="21" t="s">
        <v>136</v>
      </c>
      <c r="W15" s="21" t="s">
        <v>137</v>
      </c>
      <c r="X15" s="21" t="s">
        <v>139</v>
      </c>
      <c r="Y15" s="21" t="s">
        <v>134</v>
      </c>
      <c r="Z15" s="21" t="s">
        <v>134</v>
      </c>
      <c r="AA15" s="21" t="s">
        <v>134</v>
      </c>
      <c r="AB15" s="21" t="s">
        <v>134</v>
      </c>
      <c r="AC15" s="21" t="s">
        <v>134</v>
      </c>
    </row>
    <row r="16" spans="1:33" ht="36" customHeight="1" x14ac:dyDescent="0.3">
      <c r="A16" s="25" t="s">
        <v>140</v>
      </c>
      <c r="B16" s="21" t="s">
        <v>141</v>
      </c>
      <c r="C16" s="21" t="s">
        <v>142</v>
      </c>
      <c r="D16" s="21" t="s">
        <v>143</v>
      </c>
      <c r="E16" s="21" t="s">
        <v>143</v>
      </c>
      <c r="F16" s="21" t="s">
        <v>143</v>
      </c>
      <c r="G16" s="21" t="s">
        <v>143</v>
      </c>
      <c r="H16" s="21" t="s">
        <v>143</v>
      </c>
      <c r="I16" s="21" t="s">
        <v>143</v>
      </c>
      <c r="J16" s="21" t="s">
        <v>143</v>
      </c>
      <c r="K16" s="21" t="s">
        <v>143</v>
      </c>
      <c r="L16" s="21" t="s">
        <v>143</v>
      </c>
      <c r="M16" s="21" t="s">
        <v>143</v>
      </c>
      <c r="N16" s="21" t="s">
        <v>143</v>
      </c>
      <c r="O16" s="21" t="s">
        <v>144</v>
      </c>
      <c r="P16" s="21" t="s">
        <v>145</v>
      </c>
      <c r="Q16" s="21" t="s">
        <v>145</v>
      </c>
      <c r="R16" s="21" t="s">
        <v>145</v>
      </c>
      <c r="S16" s="21" t="s">
        <v>143</v>
      </c>
      <c r="T16" s="21" t="s">
        <v>145</v>
      </c>
      <c r="U16" s="21" t="s">
        <v>143</v>
      </c>
      <c r="V16" s="21" t="s">
        <v>143</v>
      </c>
      <c r="W16" s="21" t="s">
        <v>143</v>
      </c>
      <c r="X16" s="21" t="s">
        <v>146</v>
      </c>
      <c r="Y16" s="21" t="s">
        <v>147</v>
      </c>
      <c r="Z16" s="21" t="s">
        <v>147</v>
      </c>
      <c r="AA16" s="21" t="s">
        <v>147</v>
      </c>
      <c r="AB16" s="21" t="s">
        <v>147</v>
      </c>
      <c r="AC16" s="21" t="s">
        <v>148</v>
      </c>
    </row>
    <row r="17" spans="1:33" ht="48" customHeight="1" x14ac:dyDescent="0.3">
      <c r="A17" s="26" t="s">
        <v>149</v>
      </c>
      <c r="B17" s="21" t="s">
        <v>150</v>
      </c>
      <c r="C17" s="21" t="s">
        <v>151</v>
      </c>
      <c r="D17" s="21" t="s">
        <v>152</v>
      </c>
      <c r="E17" s="21" t="s">
        <v>153</v>
      </c>
      <c r="F17" s="21" t="s">
        <v>154</v>
      </c>
      <c r="G17" s="21" t="s">
        <v>155</v>
      </c>
      <c r="H17" s="21" t="s">
        <v>156</v>
      </c>
      <c r="I17" s="21" t="s">
        <v>157</v>
      </c>
      <c r="J17" s="21" t="s">
        <v>158</v>
      </c>
      <c r="K17" s="21" t="s">
        <v>158</v>
      </c>
      <c r="L17" s="21" t="s">
        <v>159</v>
      </c>
      <c r="M17" s="21" t="s">
        <v>151</v>
      </c>
      <c r="N17" s="21" t="s">
        <v>160</v>
      </c>
      <c r="O17" s="21" t="s">
        <v>161</v>
      </c>
      <c r="P17" s="21" t="s">
        <v>162</v>
      </c>
      <c r="Q17" s="21" t="s">
        <v>163</v>
      </c>
      <c r="R17" s="21" t="s">
        <v>164</v>
      </c>
      <c r="S17" s="21" t="s">
        <v>165</v>
      </c>
      <c r="T17" s="21" t="s">
        <v>166</v>
      </c>
      <c r="U17" s="21" t="s">
        <v>167</v>
      </c>
      <c r="V17" s="21" t="s">
        <v>168</v>
      </c>
      <c r="W17" s="21" t="s">
        <v>169</v>
      </c>
      <c r="X17" s="21" t="s">
        <v>170</v>
      </c>
      <c r="Y17" s="21" t="s">
        <v>171</v>
      </c>
      <c r="Z17" s="21" t="s">
        <v>172</v>
      </c>
      <c r="AA17" s="21" t="s">
        <v>173</v>
      </c>
      <c r="AB17" s="21" t="s">
        <v>174</v>
      </c>
      <c r="AC17" s="21" t="s">
        <v>175</v>
      </c>
    </row>
    <row r="18" spans="1:33" ht="15" customHeight="1" x14ac:dyDescent="0.3">
      <c r="A18" s="26" t="s">
        <v>176</v>
      </c>
      <c r="B18" s="24">
        <v>1212</v>
      </c>
      <c r="C18" s="24">
        <v>19</v>
      </c>
      <c r="D18" s="24">
        <v>1</v>
      </c>
      <c r="E18" s="24">
        <v>37</v>
      </c>
      <c r="F18" s="24">
        <v>920</v>
      </c>
      <c r="G18" s="24">
        <v>1</v>
      </c>
      <c r="H18" s="24">
        <v>72</v>
      </c>
      <c r="I18" s="24">
        <v>1</v>
      </c>
      <c r="J18" s="24">
        <v>1</v>
      </c>
      <c r="K18" s="24">
        <v>1</v>
      </c>
      <c r="L18" s="24">
        <v>1</v>
      </c>
      <c r="M18" s="24">
        <v>19</v>
      </c>
      <c r="N18" s="24">
        <v>1</v>
      </c>
      <c r="O18" s="24">
        <v>59</v>
      </c>
      <c r="P18" s="24">
        <v>14</v>
      </c>
      <c r="Q18" s="24">
        <v>14</v>
      </c>
      <c r="R18" s="24">
        <v>14</v>
      </c>
      <c r="S18" s="24">
        <v>2</v>
      </c>
      <c r="T18" s="24">
        <v>14</v>
      </c>
      <c r="U18" s="24">
        <v>103</v>
      </c>
      <c r="V18" s="24">
        <v>10</v>
      </c>
      <c r="W18" s="24">
        <v>3</v>
      </c>
      <c r="X18" s="24">
        <v>318</v>
      </c>
      <c r="Y18" s="24">
        <v>14</v>
      </c>
      <c r="Z18" s="24">
        <v>14</v>
      </c>
      <c r="AA18" s="24">
        <v>14</v>
      </c>
      <c r="AB18" s="24">
        <v>14</v>
      </c>
      <c r="AC18" s="24">
        <v>318</v>
      </c>
    </row>
    <row r="19" spans="1:33" ht="120" customHeight="1" x14ac:dyDescent="0.3">
      <c r="A19" s="26" t="s">
        <v>177</v>
      </c>
      <c r="B19" s="21" t="s">
        <v>178</v>
      </c>
      <c r="C19" s="21" t="s">
        <v>179</v>
      </c>
      <c r="D19" s="21" t="s">
        <v>180</v>
      </c>
      <c r="E19" s="21" t="s">
        <v>178</v>
      </c>
      <c r="F19" s="21" t="s">
        <v>178</v>
      </c>
      <c r="G19" s="21" t="s">
        <v>181</v>
      </c>
      <c r="H19" s="21" t="s">
        <v>178</v>
      </c>
      <c r="I19" s="21" t="s">
        <v>182</v>
      </c>
      <c r="J19" s="21" t="s">
        <v>183</v>
      </c>
      <c r="K19" s="21" t="s">
        <v>183</v>
      </c>
      <c r="L19" s="21" t="s">
        <v>184</v>
      </c>
      <c r="M19" s="21" t="s">
        <v>185</v>
      </c>
      <c r="N19" s="21" t="s">
        <v>186</v>
      </c>
      <c r="O19" s="21" t="s">
        <v>178</v>
      </c>
      <c r="P19" s="21" t="s">
        <v>187</v>
      </c>
      <c r="Q19" s="21" t="s">
        <v>188</v>
      </c>
      <c r="R19" s="21" t="s">
        <v>188</v>
      </c>
      <c r="S19" s="21" t="s">
        <v>189</v>
      </c>
      <c r="T19" s="21" t="s">
        <v>188</v>
      </c>
      <c r="U19" s="21" t="s">
        <v>178</v>
      </c>
      <c r="V19" s="21" t="s">
        <v>190</v>
      </c>
      <c r="W19" s="21" t="s">
        <v>191</v>
      </c>
      <c r="X19" s="21" t="s">
        <v>178</v>
      </c>
      <c r="Y19" s="21" t="s">
        <v>192</v>
      </c>
      <c r="Z19" s="21" t="s">
        <v>193</v>
      </c>
      <c r="AA19" s="21" t="s">
        <v>193</v>
      </c>
      <c r="AB19" s="21" t="s">
        <v>193</v>
      </c>
      <c r="AC19" s="21" t="s">
        <v>178</v>
      </c>
    </row>
    <row r="20" spans="1:33" ht="15" customHeight="1" x14ac:dyDescent="0.3">
      <c r="A20" s="26" t="s">
        <v>194</v>
      </c>
      <c r="B20" s="21" t="s">
        <v>195</v>
      </c>
      <c r="C20" s="21" t="s">
        <v>195</v>
      </c>
      <c r="D20" s="21" t="s">
        <v>195</v>
      </c>
      <c r="E20" s="21" t="s">
        <v>196</v>
      </c>
      <c r="F20" s="21" t="s">
        <v>195</v>
      </c>
      <c r="G20" s="21" t="s">
        <v>195</v>
      </c>
      <c r="H20" s="21" t="s">
        <v>197</v>
      </c>
      <c r="I20" s="21" t="s">
        <v>195</v>
      </c>
      <c r="J20" s="21" t="s">
        <v>195</v>
      </c>
      <c r="K20" s="21" t="s">
        <v>195</v>
      </c>
      <c r="L20" s="21" t="s">
        <v>195</v>
      </c>
      <c r="M20" s="21" t="s">
        <v>195</v>
      </c>
      <c r="N20" s="21" t="s">
        <v>195</v>
      </c>
      <c r="O20" s="21" t="s">
        <v>195</v>
      </c>
      <c r="P20" s="21" t="s">
        <v>195</v>
      </c>
      <c r="Q20" s="21" t="s">
        <v>195</v>
      </c>
      <c r="R20" s="21" t="s">
        <v>195</v>
      </c>
      <c r="S20" s="21" t="s">
        <v>195</v>
      </c>
      <c r="T20" s="21" t="s">
        <v>195</v>
      </c>
      <c r="U20" s="21" t="s">
        <v>198</v>
      </c>
      <c r="V20" s="21" t="s">
        <v>199</v>
      </c>
      <c r="W20" s="21" t="s">
        <v>195</v>
      </c>
      <c r="X20" s="21" t="s">
        <v>200</v>
      </c>
      <c r="Y20" s="21" t="s">
        <v>195</v>
      </c>
      <c r="Z20" s="21" t="s">
        <v>195</v>
      </c>
      <c r="AA20" s="21" t="s">
        <v>195</v>
      </c>
      <c r="AB20" s="21" t="s">
        <v>195</v>
      </c>
      <c r="AC20" s="21" t="s">
        <v>200</v>
      </c>
    </row>
    <row r="21" spans="1:33" ht="372" customHeight="1" x14ac:dyDescent="0.3">
      <c r="A21" s="26" t="s">
        <v>201</v>
      </c>
      <c r="B21" s="21" t="s">
        <v>202</v>
      </c>
      <c r="C21" s="21" t="s">
        <v>203</v>
      </c>
      <c r="D21" s="21" t="s">
        <v>204</v>
      </c>
      <c r="E21" s="21" t="s">
        <v>205</v>
      </c>
      <c r="F21" s="21" t="s">
        <v>206</v>
      </c>
      <c r="G21" s="21" t="s">
        <v>207</v>
      </c>
      <c r="H21" s="21" t="s">
        <v>208</v>
      </c>
      <c r="I21" s="21" t="s">
        <v>209</v>
      </c>
      <c r="J21" s="21" t="s">
        <v>210</v>
      </c>
      <c r="K21" s="21" t="s">
        <v>211</v>
      </c>
      <c r="L21" s="21" t="s">
        <v>212</v>
      </c>
      <c r="M21" s="21" t="s">
        <v>213</v>
      </c>
      <c r="N21" s="21" t="s">
        <v>214</v>
      </c>
      <c r="O21" s="21" t="s">
        <v>215</v>
      </c>
      <c r="P21" s="21" t="s">
        <v>216</v>
      </c>
      <c r="Q21" s="21" t="s">
        <v>217</v>
      </c>
      <c r="R21" s="21" t="s">
        <v>218</v>
      </c>
      <c r="S21" s="21" t="s">
        <v>219</v>
      </c>
      <c r="T21" s="21" t="s">
        <v>220</v>
      </c>
      <c r="U21" s="21" t="s">
        <v>221</v>
      </c>
      <c r="V21" s="21" t="s">
        <v>222</v>
      </c>
      <c r="W21" s="21" t="s">
        <v>223</v>
      </c>
      <c r="X21" s="21" t="s">
        <v>224</v>
      </c>
      <c r="Y21" s="21" t="s">
        <v>225</v>
      </c>
      <c r="Z21" s="21" t="s">
        <v>226</v>
      </c>
      <c r="AA21" s="21" t="s">
        <v>227</v>
      </c>
      <c r="AB21" s="21" t="s">
        <v>228</v>
      </c>
      <c r="AC21" s="21" t="s">
        <v>229</v>
      </c>
    </row>
    <row r="25" spans="1:33" ht="15" thickBot="1" x14ac:dyDescent="0.35"/>
    <row r="26" spans="1:33" ht="16.05" customHeight="1" x14ac:dyDescent="0.3">
      <c r="A26" s="19" t="s">
        <v>59</v>
      </c>
      <c r="B26" s="38" t="s">
        <v>230</v>
      </c>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6"/>
    </row>
    <row r="27" spans="1:33" ht="36" customHeight="1" x14ac:dyDescent="0.3">
      <c r="A27" s="19" t="s">
        <v>61</v>
      </c>
      <c r="B27" s="37" t="s">
        <v>231</v>
      </c>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6"/>
    </row>
    <row r="28" spans="1:33" ht="13.5" customHeight="1" x14ac:dyDescent="0.3">
      <c r="A28" s="19" t="s">
        <v>63</v>
      </c>
      <c r="B28" s="22" t="s">
        <v>64</v>
      </c>
      <c r="C28" s="22" t="s">
        <v>65</v>
      </c>
      <c r="D28" s="34" t="s">
        <v>66</v>
      </c>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6"/>
    </row>
    <row r="29" spans="1:33" ht="24" customHeight="1" thickBot="1" x14ac:dyDescent="0.35">
      <c r="A29" s="19"/>
      <c r="B29" s="21" t="s">
        <v>67</v>
      </c>
      <c r="C29" s="21" t="s">
        <v>232</v>
      </c>
      <c r="D29" s="37" t="s">
        <v>233</v>
      </c>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6"/>
    </row>
    <row r="30" spans="1:33" ht="16.05" customHeight="1" x14ac:dyDescent="0.3">
      <c r="A30" s="23" t="s">
        <v>69</v>
      </c>
      <c r="B30" s="38" t="s">
        <v>234</v>
      </c>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6"/>
    </row>
    <row r="31" spans="1:33" ht="24" customHeight="1" x14ac:dyDescent="0.3">
      <c r="A31" s="23" t="s">
        <v>71</v>
      </c>
      <c r="B31" s="37" t="s">
        <v>235</v>
      </c>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6"/>
    </row>
    <row r="32" spans="1:33" ht="13.5" customHeight="1" x14ac:dyDescent="0.3">
      <c r="A32" s="23" t="s">
        <v>73</v>
      </c>
      <c r="B32" s="22" t="s">
        <v>74</v>
      </c>
      <c r="C32" s="22" t="s">
        <v>75</v>
      </c>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row>
    <row r="33" spans="1:33" ht="16.05" customHeight="1" x14ac:dyDescent="0.3">
      <c r="A33" s="23"/>
      <c r="B33" s="24">
        <v>288226</v>
      </c>
      <c r="C33" s="24">
        <v>32</v>
      </c>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row>
    <row r="34" spans="1:33" ht="6" customHeight="1" x14ac:dyDescent="0.3"/>
    <row r="35" spans="1:33" ht="15" customHeight="1" x14ac:dyDescent="0.3">
      <c r="A35" s="25" t="s">
        <v>76</v>
      </c>
      <c r="B35" s="20" t="s">
        <v>78</v>
      </c>
      <c r="C35" s="20" t="s">
        <v>77</v>
      </c>
      <c r="D35" s="20" t="s">
        <v>236</v>
      </c>
      <c r="E35" s="20" t="s">
        <v>237</v>
      </c>
      <c r="F35" s="20" t="s">
        <v>238</v>
      </c>
      <c r="G35" s="20" t="s">
        <v>239</v>
      </c>
      <c r="H35" s="20" t="s">
        <v>240</v>
      </c>
      <c r="I35" s="20" t="s">
        <v>241</v>
      </c>
      <c r="J35" s="20" t="s">
        <v>242</v>
      </c>
      <c r="K35" s="20" t="s">
        <v>243</v>
      </c>
      <c r="L35" s="20" t="s">
        <v>244</v>
      </c>
      <c r="M35" s="20" t="s">
        <v>245</v>
      </c>
      <c r="N35" s="20" t="s">
        <v>246</v>
      </c>
      <c r="O35" s="20" t="s">
        <v>247</v>
      </c>
      <c r="P35" s="20" t="s">
        <v>248</v>
      </c>
      <c r="Q35" s="20" t="s">
        <v>249</v>
      </c>
      <c r="R35" s="20" t="s">
        <v>250</v>
      </c>
      <c r="S35" s="20" t="s">
        <v>251</v>
      </c>
      <c r="T35" s="20" t="s">
        <v>252</v>
      </c>
      <c r="U35" s="20" t="s">
        <v>253</v>
      </c>
      <c r="V35" s="20" t="s">
        <v>254</v>
      </c>
      <c r="W35" s="20" t="s">
        <v>255</v>
      </c>
      <c r="X35" s="20" t="s">
        <v>256</v>
      </c>
      <c r="Y35" s="20" t="s">
        <v>257</v>
      </c>
      <c r="Z35" s="20" t="s">
        <v>258</v>
      </c>
      <c r="AA35" s="20" t="s">
        <v>259</v>
      </c>
      <c r="AB35" s="20" t="s">
        <v>260</v>
      </c>
      <c r="AC35" s="20" t="s">
        <v>261</v>
      </c>
      <c r="AD35" s="20" t="s">
        <v>262</v>
      </c>
      <c r="AE35" s="20" t="s">
        <v>263</v>
      </c>
      <c r="AF35" s="20" t="s">
        <v>264</v>
      </c>
      <c r="AG35" s="20" t="s">
        <v>265</v>
      </c>
    </row>
    <row r="36" spans="1:33" ht="24" customHeight="1" x14ac:dyDescent="0.3">
      <c r="A36" s="25" t="s">
        <v>105</v>
      </c>
      <c r="B36" s="21" t="s">
        <v>266</v>
      </c>
      <c r="C36" s="21" t="s">
        <v>267</v>
      </c>
      <c r="D36" s="21" t="s">
        <v>268</v>
      </c>
      <c r="E36" s="21" t="s">
        <v>269</v>
      </c>
      <c r="F36" s="21" t="s">
        <v>270</v>
      </c>
      <c r="G36" s="21" t="s">
        <v>271</v>
      </c>
      <c r="H36" s="21" t="s">
        <v>272</v>
      </c>
      <c r="I36" s="21" t="s">
        <v>273</v>
      </c>
      <c r="J36" s="21" t="s">
        <v>274</v>
      </c>
      <c r="K36" s="21" t="s">
        <v>275</v>
      </c>
      <c r="L36" s="21" t="s">
        <v>276</v>
      </c>
      <c r="M36" s="21" t="s">
        <v>277</v>
      </c>
      <c r="N36" s="21" t="s">
        <v>278</v>
      </c>
      <c r="O36" s="21" t="s">
        <v>279</v>
      </c>
      <c r="P36" s="21" t="s">
        <v>280</v>
      </c>
      <c r="Q36" s="21" t="s">
        <v>281</v>
      </c>
      <c r="R36" s="21" t="s">
        <v>282</v>
      </c>
      <c r="S36" s="21" t="s">
        <v>283</v>
      </c>
      <c r="T36" s="21" t="s">
        <v>284</v>
      </c>
      <c r="U36" s="21" t="s">
        <v>285</v>
      </c>
      <c r="V36" s="21" t="s">
        <v>286</v>
      </c>
      <c r="W36" s="21" t="s">
        <v>287</v>
      </c>
      <c r="X36" s="21" t="s">
        <v>288</v>
      </c>
      <c r="Y36" s="21" t="s">
        <v>289</v>
      </c>
      <c r="Z36" s="21" t="s">
        <v>290</v>
      </c>
      <c r="AA36" s="21" t="s">
        <v>291</v>
      </c>
      <c r="AB36" s="21" t="s">
        <v>292</v>
      </c>
      <c r="AC36" s="21" t="s">
        <v>293</v>
      </c>
      <c r="AD36" s="21" t="s">
        <v>294</v>
      </c>
      <c r="AE36" s="21" t="s">
        <v>295</v>
      </c>
      <c r="AF36" s="21" t="s">
        <v>296</v>
      </c>
      <c r="AG36" s="21" t="s">
        <v>297</v>
      </c>
    </row>
    <row r="37" spans="1:33" ht="15" customHeight="1" x14ac:dyDescent="0.3">
      <c r="A37" s="25" t="s">
        <v>133</v>
      </c>
      <c r="B37" s="21" t="s">
        <v>135</v>
      </c>
      <c r="C37" s="21" t="s">
        <v>134</v>
      </c>
      <c r="D37" s="21" t="s">
        <v>139</v>
      </c>
      <c r="E37" s="21" t="s">
        <v>139</v>
      </c>
      <c r="F37" s="21" t="s">
        <v>139</v>
      </c>
      <c r="G37" s="21" t="s">
        <v>136</v>
      </c>
      <c r="H37" s="21" t="s">
        <v>136</v>
      </c>
      <c r="I37" s="21" t="s">
        <v>136</v>
      </c>
      <c r="J37" s="21" t="s">
        <v>136</v>
      </c>
      <c r="K37" s="21" t="s">
        <v>136</v>
      </c>
      <c r="L37" s="21" t="s">
        <v>137</v>
      </c>
      <c r="M37" s="21" t="s">
        <v>137</v>
      </c>
      <c r="N37" s="21" t="s">
        <v>139</v>
      </c>
      <c r="O37" s="21" t="s">
        <v>298</v>
      </c>
      <c r="P37" s="21" t="s">
        <v>299</v>
      </c>
      <c r="Q37" s="21" t="s">
        <v>299</v>
      </c>
      <c r="R37" s="21" t="s">
        <v>299</v>
      </c>
      <c r="S37" s="21" t="s">
        <v>299</v>
      </c>
      <c r="T37" s="21" t="s">
        <v>299</v>
      </c>
      <c r="U37" s="21" t="s">
        <v>299</v>
      </c>
      <c r="V37" s="21" t="s">
        <v>136</v>
      </c>
      <c r="W37" s="21" t="s">
        <v>136</v>
      </c>
      <c r="X37" s="21" t="s">
        <v>136</v>
      </c>
      <c r="Y37" s="21" t="s">
        <v>136</v>
      </c>
      <c r="Z37" s="21" t="s">
        <v>136</v>
      </c>
      <c r="AA37" s="21" t="s">
        <v>137</v>
      </c>
      <c r="AB37" s="21" t="s">
        <v>299</v>
      </c>
      <c r="AC37" s="21" t="s">
        <v>136</v>
      </c>
      <c r="AD37" s="21" t="s">
        <v>134</v>
      </c>
      <c r="AE37" s="21" t="s">
        <v>134</v>
      </c>
      <c r="AF37" s="21" t="s">
        <v>137</v>
      </c>
      <c r="AG37" s="21" t="s">
        <v>137</v>
      </c>
    </row>
    <row r="38" spans="1:33" ht="24" customHeight="1" x14ac:dyDescent="0.3">
      <c r="A38" s="25" t="s">
        <v>140</v>
      </c>
      <c r="B38" s="21" t="s">
        <v>300</v>
      </c>
      <c r="C38" s="21" t="s">
        <v>301</v>
      </c>
      <c r="D38" s="21" t="s">
        <v>302</v>
      </c>
      <c r="E38" s="21" t="s">
        <v>302</v>
      </c>
      <c r="F38" s="21" t="s">
        <v>302</v>
      </c>
      <c r="G38" s="21" t="s">
        <v>143</v>
      </c>
      <c r="H38" s="21" t="s">
        <v>143</v>
      </c>
      <c r="I38" s="21" t="s">
        <v>143</v>
      </c>
      <c r="J38" s="21" t="s">
        <v>143</v>
      </c>
      <c r="K38" s="21" t="s">
        <v>143</v>
      </c>
      <c r="L38" s="21" t="s">
        <v>143</v>
      </c>
      <c r="M38" s="21" t="s">
        <v>143</v>
      </c>
      <c r="N38" s="21" t="s">
        <v>302</v>
      </c>
      <c r="O38" s="21" t="s">
        <v>303</v>
      </c>
      <c r="P38" s="21" t="s">
        <v>143</v>
      </c>
      <c r="Q38" s="21" t="s">
        <v>143</v>
      </c>
      <c r="R38" s="21" t="s">
        <v>143</v>
      </c>
      <c r="S38" s="21" t="s">
        <v>143</v>
      </c>
      <c r="T38" s="21" t="s">
        <v>143</v>
      </c>
      <c r="U38" s="21" t="s">
        <v>143</v>
      </c>
      <c r="V38" s="21" t="s">
        <v>143</v>
      </c>
      <c r="W38" s="21" t="s">
        <v>143</v>
      </c>
      <c r="X38" s="21" t="s">
        <v>143</v>
      </c>
      <c r="Y38" s="21" t="s">
        <v>143</v>
      </c>
      <c r="Z38" s="21" t="s">
        <v>143</v>
      </c>
      <c r="AA38" s="21" t="s">
        <v>143</v>
      </c>
      <c r="AB38" s="21" t="s">
        <v>143</v>
      </c>
      <c r="AC38" s="21" t="s">
        <v>143</v>
      </c>
      <c r="AD38" s="21" t="s">
        <v>147</v>
      </c>
      <c r="AE38" s="21" t="s">
        <v>147</v>
      </c>
      <c r="AF38" s="21" t="s">
        <v>145</v>
      </c>
      <c r="AG38" s="21" t="s">
        <v>145</v>
      </c>
    </row>
    <row r="39" spans="1:33" ht="36" customHeight="1" x14ac:dyDescent="0.3">
      <c r="A39" s="26" t="s">
        <v>149</v>
      </c>
      <c r="B39" s="21" t="s">
        <v>304</v>
      </c>
      <c r="C39" s="21" t="s">
        <v>305</v>
      </c>
      <c r="D39" s="21" t="s">
        <v>306</v>
      </c>
      <c r="E39" s="21" t="s">
        <v>307</v>
      </c>
      <c r="F39" s="21" t="s">
        <v>308</v>
      </c>
      <c r="G39" s="21" t="s">
        <v>309</v>
      </c>
      <c r="H39" s="21" t="s">
        <v>310</v>
      </c>
      <c r="I39" s="21" t="s">
        <v>309</v>
      </c>
      <c r="J39" s="21" t="s">
        <v>311</v>
      </c>
      <c r="K39" s="21" t="s">
        <v>311</v>
      </c>
      <c r="L39" s="21" t="s">
        <v>312</v>
      </c>
      <c r="M39" s="21" t="s">
        <v>313</v>
      </c>
      <c r="N39" s="21" t="s">
        <v>314</v>
      </c>
      <c r="O39" s="21" t="s">
        <v>315</v>
      </c>
      <c r="P39" s="21" t="s">
        <v>309</v>
      </c>
      <c r="Q39" s="21" t="s">
        <v>316</v>
      </c>
      <c r="R39" s="21" t="s">
        <v>309</v>
      </c>
      <c r="S39" s="21" t="s">
        <v>317</v>
      </c>
      <c r="T39" s="21" t="s">
        <v>309</v>
      </c>
      <c r="U39" s="21" t="s">
        <v>309</v>
      </c>
      <c r="V39" s="21" t="s">
        <v>316</v>
      </c>
      <c r="W39" s="21" t="s">
        <v>309</v>
      </c>
      <c r="X39" s="21" t="s">
        <v>317</v>
      </c>
      <c r="Y39" s="21" t="s">
        <v>309</v>
      </c>
      <c r="Z39" s="21" t="s">
        <v>309</v>
      </c>
      <c r="AA39" s="21" t="s">
        <v>318</v>
      </c>
      <c r="AB39" s="21" t="s">
        <v>309</v>
      </c>
      <c r="AC39" s="21" t="s">
        <v>319</v>
      </c>
      <c r="AD39" s="21" t="s">
        <v>152</v>
      </c>
      <c r="AE39" s="21" t="s">
        <v>319</v>
      </c>
      <c r="AF39" s="21" t="s">
        <v>320</v>
      </c>
      <c r="AG39" s="21" t="s">
        <v>321</v>
      </c>
    </row>
    <row r="40" spans="1:33" ht="15" customHeight="1" x14ac:dyDescent="0.3">
      <c r="A40" s="26" t="s">
        <v>176</v>
      </c>
      <c r="B40" s="24">
        <v>19</v>
      </c>
      <c r="C40" s="24">
        <v>1212</v>
      </c>
      <c r="D40" s="24">
        <v>727</v>
      </c>
      <c r="E40" s="24">
        <v>568</v>
      </c>
      <c r="F40" s="24">
        <v>715</v>
      </c>
      <c r="G40" s="24">
        <v>20</v>
      </c>
      <c r="H40" s="24">
        <v>11</v>
      </c>
      <c r="I40" s="24">
        <v>7</v>
      </c>
      <c r="J40" s="24">
        <v>7</v>
      </c>
      <c r="K40" s="24">
        <v>8</v>
      </c>
      <c r="L40" s="24">
        <v>2</v>
      </c>
      <c r="M40" s="24">
        <v>21</v>
      </c>
      <c r="N40" s="24">
        <v>676</v>
      </c>
      <c r="O40" s="24">
        <v>1129</v>
      </c>
      <c r="P40" s="24">
        <v>2</v>
      </c>
      <c r="Q40" s="24">
        <v>2</v>
      </c>
      <c r="R40" s="24">
        <v>2</v>
      </c>
      <c r="S40" s="24">
        <v>2</v>
      </c>
      <c r="T40" s="24">
        <v>2</v>
      </c>
      <c r="U40" s="24">
        <v>2</v>
      </c>
      <c r="V40" s="24">
        <v>6</v>
      </c>
      <c r="W40" s="24">
        <v>5</v>
      </c>
      <c r="X40" s="24">
        <v>6</v>
      </c>
      <c r="Y40" s="24">
        <v>5</v>
      </c>
      <c r="Z40" s="24">
        <v>2</v>
      </c>
      <c r="AA40" s="24">
        <v>10</v>
      </c>
      <c r="AB40" s="24">
        <v>2</v>
      </c>
      <c r="AC40" s="24">
        <v>6</v>
      </c>
      <c r="AD40" s="24">
        <v>14</v>
      </c>
      <c r="AE40" s="24">
        <v>14</v>
      </c>
      <c r="AF40" s="24">
        <v>14</v>
      </c>
      <c r="AG40" s="24">
        <v>14</v>
      </c>
    </row>
    <row r="41" spans="1:33" ht="60" customHeight="1" x14ac:dyDescent="0.3">
      <c r="A41" s="26" t="s">
        <v>177</v>
      </c>
      <c r="B41" s="21" t="s">
        <v>179</v>
      </c>
      <c r="C41" s="21" t="s">
        <v>178</v>
      </c>
      <c r="D41" s="21" t="s">
        <v>178</v>
      </c>
      <c r="E41" s="21" t="s">
        <v>178</v>
      </c>
      <c r="F41" s="21" t="s">
        <v>178</v>
      </c>
      <c r="G41" s="21" t="s">
        <v>322</v>
      </c>
      <c r="H41" s="21" t="s">
        <v>323</v>
      </c>
      <c r="I41" s="21" t="s">
        <v>324</v>
      </c>
      <c r="J41" s="21" t="s">
        <v>325</v>
      </c>
      <c r="K41" s="21" t="s">
        <v>326</v>
      </c>
      <c r="L41" s="21" t="s">
        <v>327</v>
      </c>
      <c r="M41" s="21" t="s">
        <v>178</v>
      </c>
      <c r="N41" s="21" t="s">
        <v>178</v>
      </c>
      <c r="O41" s="21" t="s">
        <v>178</v>
      </c>
      <c r="P41" s="21" t="s">
        <v>328</v>
      </c>
      <c r="Q41" s="21" t="s">
        <v>328</v>
      </c>
      <c r="R41" s="21" t="s">
        <v>328</v>
      </c>
      <c r="S41" s="21" t="s">
        <v>328</v>
      </c>
      <c r="T41" s="21" t="s">
        <v>328</v>
      </c>
      <c r="U41" s="21" t="s">
        <v>328</v>
      </c>
      <c r="V41" s="21" t="s">
        <v>329</v>
      </c>
      <c r="W41" s="21" t="s">
        <v>330</v>
      </c>
      <c r="X41" s="21" t="s">
        <v>329</v>
      </c>
      <c r="Y41" s="21" t="s">
        <v>331</v>
      </c>
      <c r="Z41" s="21" t="s">
        <v>332</v>
      </c>
      <c r="AA41" s="21" t="s">
        <v>333</v>
      </c>
      <c r="AB41" s="21" t="s">
        <v>328</v>
      </c>
      <c r="AC41" s="21" t="s">
        <v>334</v>
      </c>
      <c r="AD41" s="21" t="s">
        <v>192</v>
      </c>
      <c r="AE41" s="21" t="s">
        <v>335</v>
      </c>
      <c r="AF41" s="21" t="s">
        <v>336</v>
      </c>
      <c r="AG41" s="21" t="s">
        <v>336</v>
      </c>
    </row>
    <row r="42" spans="1:33" ht="15" customHeight="1" x14ac:dyDescent="0.3">
      <c r="A42" s="26" t="s">
        <v>194</v>
      </c>
      <c r="B42" s="21" t="s">
        <v>195</v>
      </c>
      <c r="C42" s="21" t="s">
        <v>195</v>
      </c>
      <c r="D42" s="21" t="s">
        <v>195</v>
      </c>
      <c r="E42" s="21" t="s">
        <v>195</v>
      </c>
      <c r="F42" s="21" t="s">
        <v>195</v>
      </c>
      <c r="G42" s="21" t="s">
        <v>195</v>
      </c>
      <c r="H42" s="21" t="s">
        <v>195</v>
      </c>
      <c r="I42" s="21" t="s">
        <v>195</v>
      </c>
      <c r="J42" s="21" t="s">
        <v>195</v>
      </c>
      <c r="K42" s="21" t="s">
        <v>195</v>
      </c>
      <c r="L42" s="21" t="s">
        <v>337</v>
      </c>
      <c r="M42" s="21" t="s">
        <v>338</v>
      </c>
      <c r="N42" s="21" t="s">
        <v>339</v>
      </c>
      <c r="O42" s="21" t="s">
        <v>339</v>
      </c>
      <c r="P42" s="21" t="s">
        <v>195</v>
      </c>
      <c r="Q42" s="21" t="s">
        <v>195</v>
      </c>
      <c r="R42" s="21" t="s">
        <v>195</v>
      </c>
      <c r="S42" s="21" t="s">
        <v>195</v>
      </c>
      <c r="T42" s="21" t="s">
        <v>195</v>
      </c>
      <c r="U42" s="21" t="s">
        <v>195</v>
      </c>
      <c r="V42" s="21" t="s">
        <v>195</v>
      </c>
      <c r="W42" s="21" t="s">
        <v>195</v>
      </c>
      <c r="X42" s="21" t="s">
        <v>195</v>
      </c>
      <c r="Y42" s="21" t="s">
        <v>195</v>
      </c>
      <c r="Z42" s="21" t="s">
        <v>195</v>
      </c>
      <c r="AA42" s="21" t="s">
        <v>339</v>
      </c>
      <c r="AB42" s="21" t="s">
        <v>195</v>
      </c>
      <c r="AC42" s="21" t="s">
        <v>195</v>
      </c>
      <c r="AD42" s="21" t="s">
        <v>195</v>
      </c>
      <c r="AE42" s="21" t="s">
        <v>195</v>
      </c>
      <c r="AF42" s="21" t="s">
        <v>195</v>
      </c>
      <c r="AG42" s="21" t="s">
        <v>195</v>
      </c>
    </row>
    <row r="43" spans="1:33" ht="264" customHeight="1" x14ac:dyDescent="0.3">
      <c r="A43" s="26" t="s">
        <v>201</v>
      </c>
      <c r="B43" s="21" t="s">
        <v>340</v>
      </c>
      <c r="C43" s="21" t="s">
        <v>341</v>
      </c>
      <c r="D43" s="21" t="s">
        <v>342</v>
      </c>
      <c r="E43" s="21" t="s">
        <v>343</v>
      </c>
      <c r="F43" s="21" t="s">
        <v>344</v>
      </c>
      <c r="G43" s="21" t="s">
        <v>345</v>
      </c>
      <c r="H43" s="21" t="s">
        <v>346</v>
      </c>
      <c r="I43" s="21" t="s">
        <v>347</v>
      </c>
      <c r="J43" s="21" t="s">
        <v>348</v>
      </c>
      <c r="K43" s="21" t="s">
        <v>349</v>
      </c>
      <c r="L43" s="21" t="s">
        <v>350</v>
      </c>
      <c r="M43" s="21" t="s">
        <v>351</v>
      </c>
      <c r="N43" s="21" t="s">
        <v>352</v>
      </c>
      <c r="O43" s="21" t="s">
        <v>353</v>
      </c>
      <c r="P43" s="21" t="s">
        <v>354</v>
      </c>
      <c r="Q43" s="21" t="s">
        <v>355</v>
      </c>
      <c r="R43" s="21" t="s">
        <v>356</v>
      </c>
      <c r="S43" s="21" t="s">
        <v>357</v>
      </c>
      <c r="T43" s="21" t="s">
        <v>358</v>
      </c>
      <c r="U43" s="21" t="s">
        <v>359</v>
      </c>
      <c r="V43" s="21" t="s">
        <v>360</v>
      </c>
      <c r="W43" s="21" t="s">
        <v>361</v>
      </c>
      <c r="X43" s="21" t="s">
        <v>362</v>
      </c>
      <c r="Y43" s="21" t="s">
        <v>363</v>
      </c>
      <c r="Z43" s="21" t="s">
        <v>364</v>
      </c>
      <c r="AA43" s="21" t="s">
        <v>365</v>
      </c>
      <c r="AB43" s="21" t="s">
        <v>366</v>
      </c>
      <c r="AC43" s="21" t="s">
        <v>367</v>
      </c>
      <c r="AD43" s="21" t="s">
        <v>368</v>
      </c>
      <c r="AE43" s="21" t="s">
        <v>369</v>
      </c>
      <c r="AF43" s="21" t="s">
        <v>370</v>
      </c>
      <c r="AG43" s="21" t="s">
        <v>371</v>
      </c>
    </row>
    <row r="48" spans="1:33" ht="16.05" customHeight="1" x14ac:dyDescent="0.3">
      <c r="A48" s="19" t="s">
        <v>59</v>
      </c>
      <c r="B48" s="38" t="s">
        <v>372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6"/>
    </row>
    <row r="49" spans="1:33" ht="16.05" customHeight="1" x14ac:dyDescent="0.3">
      <c r="A49" s="19" t="s">
        <v>61</v>
      </c>
      <c r="B49" s="37" t="s">
        <v>373</v>
      </c>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6"/>
    </row>
    <row r="50" spans="1:33" ht="13.5" customHeight="1" x14ac:dyDescent="0.3">
      <c r="A50" s="19" t="s">
        <v>63</v>
      </c>
      <c r="B50" s="22" t="s">
        <v>64</v>
      </c>
      <c r="C50" s="22" t="s">
        <v>65</v>
      </c>
      <c r="D50" s="34" t="s">
        <v>66</v>
      </c>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6"/>
    </row>
    <row r="51" spans="1:33" ht="16.05" customHeight="1" x14ac:dyDescent="0.3">
      <c r="A51" s="19"/>
      <c r="B51" s="21" t="s">
        <v>67</v>
      </c>
      <c r="C51" s="21" t="s">
        <v>374</v>
      </c>
      <c r="D51" s="37" t="s">
        <v>375</v>
      </c>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6"/>
    </row>
    <row r="52" spans="1:33" ht="16.05" customHeight="1" x14ac:dyDescent="0.3">
      <c r="A52" s="23" t="s">
        <v>69</v>
      </c>
      <c r="B52" s="38" t="s">
        <v>376</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6"/>
    </row>
    <row r="53" spans="1:33" ht="16.05" customHeight="1" x14ac:dyDescent="0.3">
      <c r="A53" s="23" t="s">
        <v>71</v>
      </c>
      <c r="B53" s="37" t="s">
        <v>377</v>
      </c>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6"/>
    </row>
    <row r="54" spans="1:33" ht="13.5" customHeight="1" x14ac:dyDescent="0.3">
      <c r="A54" s="23" t="s">
        <v>73</v>
      </c>
      <c r="B54" s="22" t="s">
        <v>74</v>
      </c>
      <c r="C54" s="22" t="s">
        <v>75</v>
      </c>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row>
    <row r="55" spans="1:33" ht="16.05" customHeight="1" x14ac:dyDescent="0.3">
      <c r="A55" s="23"/>
      <c r="B55" s="24">
        <v>799</v>
      </c>
      <c r="C55" s="24">
        <v>6</v>
      </c>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row>
    <row r="56" spans="1:33" ht="6" customHeight="1" x14ac:dyDescent="0.3"/>
    <row r="57" spans="1:33" ht="15" customHeight="1" x14ac:dyDescent="0.3">
      <c r="A57" s="25" t="s">
        <v>76</v>
      </c>
      <c r="B57" s="20" t="s">
        <v>378</v>
      </c>
      <c r="C57" s="20" t="s">
        <v>379</v>
      </c>
      <c r="D57" s="20" t="s">
        <v>380</v>
      </c>
      <c r="E57" s="20" t="s">
        <v>381</v>
      </c>
      <c r="F57" s="20" t="s">
        <v>382</v>
      </c>
      <c r="G57" s="20" t="s">
        <v>383</v>
      </c>
    </row>
    <row r="58" spans="1:33" ht="24" customHeight="1" x14ac:dyDescent="0.3">
      <c r="A58" s="25" t="s">
        <v>105</v>
      </c>
      <c r="B58" s="21" t="s">
        <v>384</v>
      </c>
      <c r="C58" s="21" t="s">
        <v>385</v>
      </c>
      <c r="D58" s="21" t="s">
        <v>386</v>
      </c>
      <c r="E58" s="21" t="s">
        <v>387</v>
      </c>
      <c r="F58" s="21" t="s">
        <v>388</v>
      </c>
      <c r="G58" s="21" t="s">
        <v>389</v>
      </c>
    </row>
    <row r="59" spans="1:33" ht="15" customHeight="1" x14ac:dyDescent="0.3">
      <c r="A59" s="25" t="s">
        <v>133</v>
      </c>
      <c r="B59" s="21" t="s">
        <v>134</v>
      </c>
      <c r="C59" s="21" t="s">
        <v>139</v>
      </c>
      <c r="D59" s="21" t="s">
        <v>137</v>
      </c>
      <c r="E59" s="21" t="s">
        <v>137</v>
      </c>
      <c r="F59" s="21" t="s">
        <v>137</v>
      </c>
      <c r="G59" s="21" t="s">
        <v>139</v>
      </c>
    </row>
    <row r="60" spans="1:33" ht="24" customHeight="1" x14ac:dyDescent="0.3">
      <c r="A60" s="25" t="s">
        <v>140</v>
      </c>
      <c r="B60" s="21" t="s">
        <v>141</v>
      </c>
      <c r="C60" s="21" t="s">
        <v>390</v>
      </c>
      <c r="D60" s="21" t="s">
        <v>143</v>
      </c>
      <c r="E60" s="21" t="s">
        <v>143</v>
      </c>
      <c r="F60" s="21" t="s">
        <v>143</v>
      </c>
      <c r="G60" s="21" t="s">
        <v>143</v>
      </c>
    </row>
    <row r="61" spans="1:33" ht="36" customHeight="1" x14ac:dyDescent="0.3">
      <c r="A61" s="26" t="s">
        <v>149</v>
      </c>
      <c r="B61" s="21" t="s">
        <v>391</v>
      </c>
      <c r="C61" s="21" t="s">
        <v>392</v>
      </c>
      <c r="D61" s="21" t="s">
        <v>393</v>
      </c>
      <c r="E61" s="21" t="s">
        <v>394</v>
      </c>
      <c r="F61" s="21" t="s">
        <v>395</v>
      </c>
      <c r="G61" s="21" t="s">
        <v>396</v>
      </c>
    </row>
    <row r="62" spans="1:33" ht="15" customHeight="1" x14ac:dyDescent="0.3">
      <c r="A62" s="26" t="s">
        <v>176</v>
      </c>
      <c r="B62" s="24">
        <v>799</v>
      </c>
      <c r="C62" s="24">
        <v>799</v>
      </c>
      <c r="D62" s="24">
        <v>2</v>
      </c>
      <c r="E62" s="24">
        <v>23</v>
      </c>
      <c r="F62" s="24">
        <v>7</v>
      </c>
      <c r="G62" s="24">
        <v>799</v>
      </c>
    </row>
    <row r="63" spans="1:33" ht="60" customHeight="1" x14ac:dyDescent="0.3">
      <c r="A63" s="26" t="s">
        <v>177</v>
      </c>
      <c r="B63" s="21" t="s">
        <v>178</v>
      </c>
      <c r="C63" s="21" t="s">
        <v>178</v>
      </c>
      <c r="D63" s="21" t="s">
        <v>327</v>
      </c>
      <c r="E63" s="21" t="s">
        <v>178</v>
      </c>
      <c r="F63" s="21" t="s">
        <v>397</v>
      </c>
      <c r="G63" s="21" t="s">
        <v>178</v>
      </c>
    </row>
    <row r="64" spans="1:33" ht="15" customHeight="1" x14ac:dyDescent="0.3">
      <c r="A64" s="26" t="s">
        <v>194</v>
      </c>
      <c r="B64" s="21" t="s">
        <v>195</v>
      </c>
      <c r="C64" s="21" t="s">
        <v>195</v>
      </c>
      <c r="D64" s="21" t="s">
        <v>195</v>
      </c>
      <c r="E64" s="21" t="s">
        <v>398</v>
      </c>
      <c r="F64" s="21" t="s">
        <v>399</v>
      </c>
      <c r="G64" s="21" t="s">
        <v>195</v>
      </c>
    </row>
    <row r="65" spans="1:33" ht="348" customHeight="1" x14ac:dyDescent="0.3">
      <c r="A65" s="26" t="s">
        <v>201</v>
      </c>
      <c r="B65" s="21" t="s">
        <v>400</v>
      </c>
      <c r="C65" s="21" t="s">
        <v>401</v>
      </c>
      <c r="D65" s="21" t="s">
        <v>402</v>
      </c>
      <c r="E65" s="21" t="s">
        <v>403</v>
      </c>
      <c r="F65" s="21" t="s">
        <v>404</v>
      </c>
      <c r="G65" s="21" t="s">
        <v>405</v>
      </c>
    </row>
    <row r="70" spans="1:33" ht="16.05" customHeight="1" x14ac:dyDescent="0.3">
      <c r="A70" s="19" t="s">
        <v>59</v>
      </c>
      <c r="B70" s="38" t="s">
        <v>406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6"/>
    </row>
    <row r="71" spans="1:33" ht="24" customHeight="1" x14ac:dyDescent="0.3">
      <c r="A71" s="19" t="s">
        <v>61</v>
      </c>
      <c r="B71" s="37" t="s">
        <v>407</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6"/>
    </row>
    <row r="72" spans="1:33" ht="13.5" customHeight="1" x14ac:dyDescent="0.3">
      <c r="A72" s="19" t="s">
        <v>63</v>
      </c>
      <c r="B72" s="22" t="s">
        <v>64</v>
      </c>
      <c r="C72" s="22" t="s">
        <v>65</v>
      </c>
      <c r="D72" s="34" t="s">
        <v>66</v>
      </c>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6"/>
    </row>
    <row r="73" spans="1:33" ht="16.05" customHeight="1" x14ac:dyDescent="0.3">
      <c r="A73" s="19"/>
      <c r="B73" s="21" t="s">
        <v>67</v>
      </c>
      <c r="C73" s="21" t="s">
        <v>408</v>
      </c>
      <c r="D73" s="37" t="s">
        <v>409</v>
      </c>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6"/>
    </row>
    <row r="74" spans="1:33" ht="16.05" customHeight="1" x14ac:dyDescent="0.3">
      <c r="A74" s="23" t="s">
        <v>69</v>
      </c>
      <c r="B74" s="38" t="s">
        <v>410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6"/>
    </row>
    <row r="75" spans="1:33" ht="24" customHeight="1" x14ac:dyDescent="0.3">
      <c r="A75" s="23" t="s">
        <v>71</v>
      </c>
      <c r="B75" s="37" t="s">
        <v>411</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6"/>
    </row>
    <row r="76" spans="1:33" ht="13.5" customHeight="1" x14ac:dyDescent="0.3">
      <c r="A76" s="23" t="s">
        <v>73</v>
      </c>
      <c r="B76" s="22" t="s">
        <v>74</v>
      </c>
      <c r="C76" s="22" t="s">
        <v>75</v>
      </c>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row>
    <row r="77" spans="1:33" ht="16.05" customHeight="1" x14ac:dyDescent="0.3">
      <c r="A77" s="23"/>
      <c r="B77" s="24">
        <v>16</v>
      </c>
      <c r="C77" s="24">
        <v>2</v>
      </c>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row>
    <row r="78" spans="1:33" ht="6" customHeight="1" x14ac:dyDescent="0.3"/>
    <row r="79" spans="1:33" ht="15" customHeight="1" x14ac:dyDescent="0.3">
      <c r="A79" s="25" t="s">
        <v>76</v>
      </c>
      <c r="B79" s="20" t="s">
        <v>412</v>
      </c>
      <c r="C79" s="20" t="s">
        <v>413</v>
      </c>
    </row>
    <row r="80" spans="1:33" ht="24" customHeight="1" x14ac:dyDescent="0.3">
      <c r="A80" s="25" t="s">
        <v>105</v>
      </c>
      <c r="B80" s="21" t="s">
        <v>414</v>
      </c>
      <c r="C80" s="21" t="s">
        <v>415</v>
      </c>
    </row>
    <row r="81" spans="1:33" ht="15" customHeight="1" x14ac:dyDescent="0.3">
      <c r="A81" s="25" t="s">
        <v>133</v>
      </c>
      <c r="B81" s="21" t="s">
        <v>134</v>
      </c>
      <c r="C81" s="21" t="s">
        <v>139</v>
      </c>
    </row>
    <row r="82" spans="1:33" ht="15" customHeight="1" x14ac:dyDescent="0.3">
      <c r="A82" s="25" t="s">
        <v>140</v>
      </c>
      <c r="B82" s="21" t="s">
        <v>141</v>
      </c>
      <c r="C82" s="21" t="s">
        <v>416</v>
      </c>
    </row>
    <row r="83" spans="1:33" ht="36" customHeight="1" x14ac:dyDescent="0.3">
      <c r="A83" s="26" t="s">
        <v>149</v>
      </c>
      <c r="B83" s="21" t="s">
        <v>417</v>
      </c>
      <c r="C83" s="21" t="s">
        <v>418</v>
      </c>
    </row>
    <row r="84" spans="1:33" ht="15" customHeight="1" x14ac:dyDescent="0.3">
      <c r="A84" s="26" t="s">
        <v>176</v>
      </c>
      <c r="B84" s="24">
        <v>16</v>
      </c>
      <c r="C84" s="24">
        <v>16</v>
      </c>
    </row>
    <row r="85" spans="1:33" ht="144" customHeight="1" x14ac:dyDescent="0.3">
      <c r="A85" s="26" t="s">
        <v>177</v>
      </c>
      <c r="B85" s="21" t="s">
        <v>419</v>
      </c>
      <c r="C85" s="21" t="s">
        <v>420</v>
      </c>
    </row>
    <row r="86" spans="1:33" ht="15" customHeight="1" x14ac:dyDescent="0.3">
      <c r="A86" s="26" t="s">
        <v>194</v>
      </c>
      <c r="B86" s="21" t="s">
        <v>195</v>
      </c>
      <c r="C86" s="21" t="s">
        <v>195</v>
      </c>
    </row>
    <row r="87" spans="1:33" ht="372" customHeight="1" x14ac:dyDescent="0.3">
      <c r="A87" s="26" t="s">
        <v>201</v>
      </c>
      <c r="B87" s="21" t="s">
        <v>421</v>
      </c>
      <c r="C87" s="21" t="s">
        <v>422</v>
      </c>
    </row>
    <row r="92" spans="1:33" ht="16.05" customHeight="1" x14ac:dyDescent="0.3">
      <c r="A92" s="19" t="s">
        <v>59</v>
      </c>
      <c r="B92" s="38" t="s">
        <v>423</v>
      </c>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6"/>
    </row>
    <row r="93" spans="1:33" ht="24" customHeight="1" x14ac:dyDescent="0.3">
      <c r="A93" s="19" t="s">
        <v>61</v>
      </c>
      <c r="B93" s="37" t="s">
        <v>424</v>
      </c>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6"/>
    </row>
    <row r="94" spans="1:33" ht="13.5" customHeight="1" x14ac:dyDescent="0.3">
      <c r="A94" s="19" t="s">
        <v>63</v>
      </c>
      <c r="B94" s="22" t="s">
        <v>64</v>
      </c>
      <c r="C94" s="22" t="s">
        <v>65</v>
      </c>
      <c r="D94" s="34" t="s">
        <v>66</v>
      </c>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6"/>
    </row>
    <row r="95" spans="1:33" ht="16.05" customHeight="1" x14ac:dyDescent="0.3">
      <c r="A95" s="19"/>
      <c r="B95" s="21" t="s">
        <v>67</v>
      </c>
      <c r="C95" s="21" t="s">
        <v>425</v>
      </c>
      <c r="D95" s="37" t="s">
        <v>426</v>
      </c>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6"/>
    </row>
    <row r="96" spans="1:33" ht="16.05" customHeight="1" x14ac:dyDescent="0.3">
      <c r="A96" s="23" t="s">
        <v>69</v>
      </c>
      <c r="B96" s="38" t="s">
        <v>427</v>
      </c>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6"/>
    </row>
    <row r="97" spans="1:33" ht="16.05" customHeight="1" x14ac:dyDescent="0.3">
      <c r="A97" s="23" t="s">
        <v>71</v>
      </c>
      <c r="B97" s="37" t="s">
        <v>428</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6"/>
    </row>
    <row r="98" spans="1:33" ht="13.5" customHeight="1" x14ac:dyDescent="0.3">
      <c r="A98" s="23" t="s">
        <v>73</v>
      </c>
      <c r="B98" s="22" t="s">
        <v>74</v>
      </c>
      <c r="C98" s="22" t="s">
        <v>75</v>
      </c>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row>
    <row r="99" spans="1:33" ht="16.05" customHeight="1" x14ac:dyDescent="0.3">
      <c r="A99" s="23"/>
      <c r="B99" s="24">
        <v>63</v>
      </c>
      <c r="C99" s="24">
        <v>3</v>
      </c>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row>
    <row r="100" spans="1:33" ht="6" customHeight="1" x14ac:dyDescent="0.3"/>
    <row r="101" spans="1:33" ht="15" customHeight="1" x14ac:dyDescent="0.3">
      <c r="A101" s="25" t="s">
        <v>76</v>
      </c>
      <c r="B101" s="20" t="s">
        <v>429</v>
      </c>
      <c r="C101" s="20" t="s">
        <v>90</v>
      </c>
      <c r="D101" s="20" t="s">
        <v>80</v>
      </c>
    </row>
    <row r="102" spans="1:33" ht="24" customHeight="1" x14ac:dyDescent="0.3">
      <c r="A102" s="25" t="s">
        <v>105</v>
      </c>
      <c r="B102" s="21" t="s">
        <v>430</v>
      </c>
      <c r="C102" s="21" t="s">
        <v>431</v>
      </c>
      <c r="D102" s="21" t="s">
        <v>432</v>
      </c>
    </row>
    <row r="103" spans="1:33" ht="15" customHeight="1" x14ac:dyDescent="0.3">
      <c r="A103" s="25" t="s">
        <v>133</v>
      </c>
      <c r="B103" s="21" t="s">
        <v>134</v>
      </c>
      <c r="C103" s="21" t="s">
        <v>139</v>
      </c>
      <c r="D103" s="21" t="s">
        <v>139</v>
      </c>
    </row>
    <row r="104" spans="1:33" ht="24" customHeight="1" x14ac:dyDescent="0.3">
      <c r="A104" s="25" t="s">
        <v>140</v>
      </c>
      <c r="B104" s="21" t="s">
        <v>141</v>
      </c>
      <c r="C104" s="21" t="s">
        <v>433</v>
      </c>
      <c r="D104" s="21" t="s">
        <v>143</v>
      </c>
    </row>
    <row r="105" spans="1:33" ht="48" customHeight="1" x14ac:dyDescent="0.3">
      <c r="A105" s="26" t="s">
        <v>149</v>
      </c>
      <c r="B105" s="21" t="s">
        <v>417</v>
      </c>
      <c r="C105" s="21" t="s">
        <v>161</v>
      </c>
      <c r="D105" s="21" t="s">
        <v>153</v>
      </c>
    </row>
    <row r="106" spans="1:33" ht="15" customHeight="1" x14ac:dyDescent="0.3">
      <c r="A106" s="26" t="s">
        <v>176</v>
      </c>
      <c r="B106" s="24">
        <v>63</v>
      </c>
      <c r="C106" s="24">
        <v>59</v>
      </c>
      <c r="D106" s="24">
        <v>37</v>
      </c>
    </row>
    <row r="107" spans="1:33" ht="15" customHeight="1" x14ac:dyDescent="0.3">
      <c r="A107" s="26" t="s">
        <v>177</v>
      </c>
      <c r="B107" s="21" t="s">
        <v>178</v>
      </c>
      <c r="C107" s="21" t="s">
        <v>178</v>
      </c>
      <c r="D107" s="21" t="s">
        <v>178</v>
      </c>
    </row>
    <row r="108" spans="1:33" ht="15" customHeight="1" x14ac:dyDescent="0.3">
      <c r="A108" s="26" t="s">
        <v>194</v>
      </c>
      <c r="B108" s="21" t="s">
        <v>195</v>
      </c>
      <c r="C108" s="21" t="s">
        <v>195</v>
      </c>
      <c r="D108" s="21" t="s">
        <v>434</v>
      </c>
    </row>
    <row r="109" spans="1:33" ht="312" customHeight="1" x14ac:dyDescent="0.3">
      <c r="A109" s="26" t="s">
        <v>201</v>
      </c>
      <c r="B109" s="21" t="s">
        <v>435</v>
      </c>
      <c r="C109" s="21" t="s">
        <v>436</v>
      </c>
      <c r="D109" s="21" t="s">
        <v>437</v>
      </c>
    </row>
  </sheetData>
  <mergeCells count="32">
    <mergeCell ref="D95:AG95"/>
    <mergeCell ref="B97:AG97"/>
    <mergeCell ref="A2:U2"/>
    <mergeCell ref="B31:AG31"/>
    <mergeCell ref="B27:AG27"/>
    <mergeCell ref="B71:AG71"/>
    <mergeCell ref="D7:AG7"/>
    <mergeCell ref="D72:AG72"/>
    <mergeCell ref="B93:AG93"/>
    <mergeCell ref="B96:AG96"/>
    <mergeCell ref="B52:AG52"/>
    <mergeCell ref="B70:AG70"/>
    <mergeCell ref="B48:AG48"/>
    <mergeCell ref="D28:AG28"/>
    <mergeCell ref="B8:AG8"/>
    <mergeCell ref="D29:AG29"/>
    <mergeCell ref="A1:U1"/>
    <mergeCell ref="D94:AG94"/>
    <mergeCell ref="D50:AG50"/>
    <mergeCell ref="B9:AG9"/>
    <mergeCell ref="B49:AG49"/>
    <mergeCell ref="B74:AG74"/>
    <mergeCell ref="B92:AG92"/>
    <mergeCell ref="B30:AG30"/>
    <mergeCell ref="B5:AG5"/>
    <mergeCell ref="D6:AG6"/>
    <mergeCell ref="B4:AG4"/>
    <mergeCell ref="B26:AG26"/>
    <mergeCell ref="B75:AG75"/>
    <mergeCell ref="D73:AG73"/>
    <mergeCell ref="D51:AG51"/>
    <mergeCell ref="B53:AG53"/>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6640625" defaultRowHeight="14.4" x14ac:dyDescent="0.3"/>
  <cols>
    <col min="1" max="5" width="16" customWidth="1"/>
    <col min="6" max="6" width="40" customWidth="1"/>
  </cols>
  <sheetData>
    <row r="1" spans="1:6" ht="21" customHeight="1" x14ac:dyDescent="0.4">
      <c r="A1" s="32" t="s">
        <v>0</v>
      </c>
      <c r="B1" s="33"/>
      <c r="C1" s="33"/>
      <c r="D1" s="33"/>
      <c r="E1" s="33"/>
      <c r="F1" s="33"/>
    </row>
    <row r="2" spans="1:6" x14ac:dyDescent="0.3">
      <c r="A2" s="39" t="s">
        <v>1</v>
      </c>
      <c r="B2" s="33"/>
      <c r="C2" s="33"/>
      <c r="D2" s="33"/>
      <c r="E2" s="33"/>
      <c r="F2" s="33"/>
    </row>
    <row r="4" spans="1:6" ht="27.6" customHeight="1" x14ac:dyDescent="0.3">
      <c r="A4" s="14" t="s">
        <v>2</v>
      </c>
      <c r="B4" s="14" t="s">
        <v>3</v>
      </c>
      <c r="C4" s="14" t="s">
        <v>4</v>
      </c>
      <c r="D4" s="14" t="s">
        <v>5</v>
      </c>
      <c r="E4" s="14" t="s">
        <v>6</v>
      </c>
      <c r="F4" s="14" t="s">
        <v>7</v>
      </c>
    </row>
    <row r="5" spans="1:6" ht="26.4" customHeight="1" x14ac:dyDescent="0.3">
      <c r="A5" s="12" t="s">
        <v>8</v>
      </c>
      <c r="B5" s="12" t="s">
        <v>9</v>
      </c>
      <c r="C5" s="12" t="s">
        <v>10</v>
      </c>
      <c r="D5" s="12" t="s">
        <v>9</v>
      </c>
      <c r="E5" s="12" t="s">
        <v>11</v>
      </c>
      <c r="F5" s="12" t="s">
        <v>12</v>
      </c>
    </row>
    <row r="6" spans="1:6" x14ac:dyDescent="0.3">
      <c r="A6" s="13"/>
      <c r="B6" s="13"/>
      <c r="C6" s="13"/>
      <c r="D6" s="13"/>
      <c r="E6" s="13"/>
      <c r="F6" s="13"/>
    </row>
    <row r="7" spans="1:6" x14ac:dyDescent="0.3">
      <c r="A7" s="13"/>
      <c r="B7" s="13"/>
      <c r="C7" s="13"/>
      <c r="D7" s="13"/>
      <c r="E7" s="13"/>
      <c r="F7" s="13"/>
    </row>
    <row r="8" spans="1:6" x14ac:dyDescent="0.3">
      <c r="A8" s="13"/>
      <c r="B8" s="13"/>
      <c r="C8" s="13"/>
      <c r="D8" s="13"/>
      <c r="E8" s="13"/>
      <c r="F8" s="13"/>
    </row>
    <row r="9" spans="1:6" x14ac:dyDescent="0.3">
      <c r="A9" s="13"/>
      <c r="B9" s="13"/>
      <c r="C9" s="13"/>
      <c r="D9" s="13"/>
      <c r="E9" s="13"/>
      <c r="F9" s="13"/>
    </row>
    <row r="10" spans="1:6" x14ac:dyDescent="0.3">
      <c r="A10" s="13"/>
      <c r="B10" s="13"/>
      <c r="C10" s="13"/>
      <c r="D10" s="13"/>
      <c r="E10" s="13"/>
      <c r="F10" s="13"/>
    </row>
    <row r="11" spans="1:6" x14ac:dyDescent="0.3">
      <c r="A11" s="13"/>
      <c r="B11" s="13"/>
      <c r="C11" s="13"/>
      <c r="D11" s="13"/>
      <c r="E11" s="13"/>
      <c r="F11" s="13"/>
    </row>
    <row r="12" spans="1:6" x14ac:dyDescent="0.3">
      <c r="A12" s="13"/>
      <c r="B12" s="13"/>
      <c r="C12" s="13"/>
      <c r="D12" s="13"/>
      <c r="E12" s="13"/>
      <c r="F12" s="13"/>
    </row>
    <row r="13" spans="1:6" x14ac:dyDescent="0.3">
      <c r="A13" s="13"/>
      <c r="B13" s="13"/>
      <c r="C13" s="13"/>
      <c r="D13" s="13"/>
      <c r="E13" s="13"/>
      <c r="F13" s="13"/>
    </row>
    <row r="14" spans="1:6" x14ac:dyDescent="0.3">
      <c r="A14" s="13"/>
      <c r="B14" s="13"/>
      <c r="C14" s="13"/>
      <c r="D14" s="13"/>
      <c r="E14" s="13"/>
      <c r="F14" s="13"/>
    </row>
  </sheetData>
  <autoFilter ref="A4:F4" xr:uid="{00000000-0009-0000-0000-000003000000}"/>
  <mergeCells count="2">
    <mergeCell ref="A2:F2"/>
    <mergeCell ref="A1:F1"/>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35"/>
  <sheetViews>
    <sheetView showGridLines="0" zoomScaleNormal="100" workbookViewId="0">
      <pane ySplit="4" topLeftCell="A5" activePane="bottomLeft" state="frozen"/>
      <selection pane="bottomLeft" activeCell="C12" sqref="C12"/>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customHeight="1" x14ac:dyDescent="0.4">
      <c r="A1" s="32" t="s">
        <v>24</v>
      </c>
      <c r="B1" s="33"/>
      <c r="C1" s="33"/>
      <c r="D1" s="33"/>
      <c r="E1" s="33"/>
      <c r="F1" s="33"/>
    </row>
    <row r="2" spans="1:6" x14ac:dyDescent="0.3">
      <c r="A2" s="39" t="s">
        <v>438</v>
      </c>
      <c r="B2" s="33"/>
      <c r="C2" s="33"/>
      <c r="D2" s="33"/>
      <c r="E2" s="33"/>
      <c r="F2" s="33"/>
    </row>
    <row r="4" spans="1:6" ht="27.6" customHeight="1" x14ac:dyDescent="0.3">
      <c r="A4" s="14" t="s">
        <v>439</v>
      </c>
      <c r="B4" s="14" t="s">
        <v>440</v>
      </c>
      <c r="C4" s="14" t="s">
        <v>441</v>
      </c>
      <c r="D4" s="14" t="s">
        <v>442</v>
      </c>
      <c r="E4" s="14" t="s">
        <v>443</v>
      </c>
      <c r="F4" s="14" t="s">
        <v>444</v>
      </c>
    </row>
    <row r="5" spans="1:6" ht="138.6" customHeight="1" x14ac:dyDescent="0.3">
      <c r="A5" s="27">
        <f t="shared" ref="A5:A35" si="0">ROW()-4</f>
        <v>1</v>
      </c>
      <c r="B5" s="28" t="s">
        <v>445</v>
      </c>
      <c r="C5" s="28" t="s">
        <v>446</v>
      </c>
      <c r="D5" s="27" t="s">
        <v>447</v>
      </c>
      <c r="E5" s="28" t="s">
        <v>448</v>
      </c>
      <c r="F5" s="27" t="s">
        <v>449</v>
      </c>
    </row>
    <row r="6" spans="1:6" ht="100.8" customHeight="1" x14ac:dyDescent="0.3">
      <c r="A6" s="27">
        <f t="shared" si="0"/>
        <v>2</v>
      </c>
      <c r="B6" s="28" t="s">
        <v>450</v>
      </c>
      <c r="C6" s="28" t="s">
        <v>451</v>
      </c>
      <c r="D6" s="27" t="s">
        <v>447</v>
      </c>
      <c r="E6" s="28" t="s">
        <v>452</v>
      </c>
      <c r="F6" s="27" t="s">
        <v>449</v>
      </c>
    </row>
    <row r="7" spans="1:6" ht="163.80000000000001" customHeight="1" x14ac:dyDescent="0.3">
      <c r="A7" s="27">
        <f t="shared" si="0"/>
        <v>3</v>
      </c>
      <c r="B7" s="28" t="s">
        <v>453</v>
      </c>
      <c r="C7" s="28" t="s">
        <v>454</v>
      </c>
      <c r="D7" s="27" t="s">
        <v>447</v>
      </c>
      <c r="E7" s="28" t="s">
        <v>455</v>
      </c>
      <c r="F7" s="27" t="s">
        <v>449</v>
      </c>
    </row>
    <row r="8" spans="1:6" ht="163.80000000000001" customHeight="1" x14ac:dyDescent="0.3">
      <c r="A8" s="27">
        <f t="shared" si="0"/>
        <v>4</v>
      </c>
      <c r="B8" s="28" t="s">
        <v>456</v>
      </c>
      <c r="C8" s="28" t="s">
        <v>457</v>
      </c>
      <c r="D8" s="27" t="s">
        <v>447</v>
      </c>
      <c r="E8" s="28" t="s">
        <v>458</v>
      </c>
      <c r="F8" s="27" t="s">
        <v>449</v>
      </c>
    </row>
    <row r="9" spans="1:6" ht="151.19999999999999" customHeight="1" x14ac:dyDescent="0.3">
      <c r="A9" s="27">
        <f t="shared" si="0"/>
        <v>5</v>
      </c>
      <c r="B9" s="28" t="s">
        <v>459</v>
      </c>
      <c r="C9" s="28" t="s">
        <v>460</v>
      </c>
      <c r="D9" s="27" t="s">
        <v>447</v>
      </c>
      <c r="E9" s="28" t="s">
        <v>461</v>
      </c>
      <c r="F9" s="27" t="s">
        <v>449</v>
      </c>
    </row>
    <row r="10" spans="1:6" ht="176.4" customHeight="1" x14ac:dyDescent="0.3">
      <c r="A10" s="27">
        <f t="shared" si="0"/>
        <v>6</v>
      </c>
      <c r="B10" s="28" t="s">
        <v>453</v>
      </c>
      <c r="C10" s="28" t="s">
        <v>462</v>
      </c>
      <c r="D10" s="27" t="s">
        <v>463</v>
      </c>
      <c r="E10" s="28" t="s">
        <v>464</v>
      </c>
      <c r="F10" s="27" t="s">
        <v>449</v>
      </c>
    </row>
    <row r="11" spans="1:6" ht="100.8" customHeight="1" x14ac:dyDescent="0.3">
      <c r="A11" s="27">
        <f t="shared" si="0"/>
        <v>7</v>
      </c>
      <c r="B11" s="28" t="s">
        <v>465</v>
      </c>
      <c r="C11" s="28" t="s">
        <v>466</v>
      </c>
      <c r="D11" s="27" t="s">
        <v>463</v>
      </c>
      <c r="E11" s="28" t="s">
        <v>467</v>
      </c>
      <c r="F11" s="27" t="s">
        <v>449</v>
      </c>
    </row>
    <row r="12" spans="1:6" ht="88.2" customHeight="1" x14ac:dyDescent="0.3">
      <c r="A12" s="27">
        <f t="shared" si="0"/>
        <v>8</v>
      </c>
      <c r="B12" s="28" t="s">
        <v>468</v>
      </c>
      <c r="C12" s="28" t="s">
        <v>469</v>
      </c>
      <c r="D12" s="27" t="s">
        <v>463</v>
      </c>
      <c r="E12" s="28" t="s">
        <v>470</v>
      </c>
      <c r="F12" s="27" t="s">
        <v>449</v>
      </c>
    </row>
    <row r="13" spans="1:6" ht="189" customHeight="1" x14ac:dyDescent="0.3">
      <c r="A13" s="27">
        <f t="shared" si="0"/>
        <v>9</v>
      </c>
      <c r="B13" s="28" t="s">
        <v>471</v>
      </c>
      <c r="C13" s="28" t="s">
        <v>472</v>
      </c>
      <c r="D13" s="27" t="s">
        <v>463</v>
      </c>
      <c r="E13" s="28" t="s">
        <v>473</v>
      </c>
      <c r="F13" s="27" t="s">
        <v>449</v>
      </c>
    </row>
    <row r="14" spans="1:6" ht="126" customHeight="1" x14ac:dyDescent="0.3">
      <c r="A14" s="27">
        <f t="shared" si="0"/>
        <v>10</v>
      </c>
      <c r="B14" s="28" t="s">
        <v>474</v>
      </c>
      <c r="C14" s="28" t="s">
        <v>475</v>
      </c>
      <c r="D14" s="27" t="s">
        <v>463</v>
      </c>
      <c r="E14" s="28" t="s">
        <v>476</v>
      </c>
      <c r="F14" s="27" t="s">
        <v>449</v>
      </c>
    </row>
    <row r="15" spans="1:6" ht="100.8" customHeight="1" x14ac:dyDescent="0.3">
      <c r="A15" s="27">
        <f t="shared" si="0"/>
        <v>11</v>
      </c>
      <c r="B15" s="28" t="s">
        <v>477</v>
      </c>
      <c r="C15" s="28" t="s">
        <v>478</v>
      </c>
      <c r="D15" s="27" t="s">
        <v>463</v>
      </c>
      <c r="E15" s="28" t="s">
        <v>479</v>
      </c>
      <c r="F15" s="27" t="s">
        <v>449</v>
      </c>
    </row>
    <row r="16" spans="1:6" ht="100.8" customHeight="1" x14ac:dyDescent="0.3">
      <c r="A16" s="27">
        <f t="shared" si="0"/>
        <v>12</v>
      </c>
      <c r="B16" s="28" t="s">
        <v>480</v>
      </c>
      <c r="C16" s="28" t="s">
        <v>481</v>
      </c>
      <c r="D16" s="27" t="s">
        <v>463</v>
      </c>
      <c r="E16" s="28" t="s">
        <v>482</v>
      </c>
      <c r="F16" s="27" t="s">
        <v>449</v>
      </c>
    </row>
    <row r="17" spans="1:6" ht="138.6" customHeight="1" x14ac:dyDescent="0.3">
      <c r="A17" s="27">
        <f t="shared" si="0"/>
        <v>13</v>
      </c>
      <c r="B17" s="28" t="s">
        <v>483</v>
      </c>
      <c r="C17" s="28" t="s">
        <v>484</v>
      </c>
      <c r="D17" s="27" t="s">
        <v>463</v>
      </c>
      <c r="E17" s="28" t="s">
        <v>485</v>
      </c>
      <c r="F17" s="27" t="s">
        <v>449</v>
      </c>
    </row>
    <row r="18" spans="1:6" ht="100.8" customHeight="1" x14ac:dyDescent="0.3">
      <c r="A18" s="27">
        <f t="shared" si="0"/>
        <v>14</v>
      </c>
      <c r="B18" s="28" t="s">
        <v>486</v>
      </c>
      <c r="C18" s="28" t="s">
        <v>487</v>
      </c>
      <c r="D18" s="27" t="s">
        <v>463</v>
      </c>
      <c r="E18" s="28" t="s">
        <v>488</v>
      </c>
      <c r="F18" s="27" t="s">
        <v>449</v>
      </c>
    </row>
    <row r="19" spans="1:6" ht="63" customHeight="1" x14ac:dyDescent="0.3">
      <c r="A19" s="27">
        <f t="shared" si="0"/>
        <v>15</v>
      </c>
      <c r="B19" s="28" t="s">
        <v>489</v>
      </c>
      <c r="C19" s="28" t="s">
        <v>490</v>
      </c>
      <c r="D19" s="27" t="s">
        <v>491</v>
      </c>
      <c r="E19" s="28" t="s">
        <v>492</v>
      </c>
      <c r="F19" s="27" t="s">
        <v>449</v>
      </c>
    </row>
    <row r="20" spans="1:6" ht="100.8" customHeight="1" x14ac:dyDescent="0.3">
      <c r="A20" s="27">
        <f t="shared" si="0"/>
        <v>16</v>
      </c>
      <c r="B20" s="28" t="s">
        <v>493</v>
      </c>
      <c r="C20" s="28" t="s">
        <v>494</v>
      </c>
      <c r="D20" s="27" t="s">
        <v>491</v>
      </c>
      <c r="E20" s="28" t="s">
        <v>495</v>
      </c>
      <c r="F20" s="27" t="s">
        <v>449</v>
      </c>
    </row>
    <row r="21" spans="1:6" ht="100.8" customHeight="1" x14ac:dyDescent="0.3">
      <c r="A21" s="27">
        <f t="shared" si="0"/>
        <v>17</v>
      </c>
      <c r="B21" s="28" t="s">
        <v>496</v>
      </c>
      <c r="C21" s="28" t="s">
        <v>497</v>
      </c>
      <c r="D21" s="27" t="s">
        <v>491</v>
      </c>
      <c r="E21" s="28" t="s">
        <v>498</v>
      </c>
      <c r="F21" s="27" t="s">
        <v>449</v>
      </c>
    </row>
    <row r="22" spans="1:6" ht="138.6" customHeight="1" x14ac:dyDescent="0.3">
      <c r="A22" s="27">
        <f t="shared" si="0"/>
        <v>18</v>
      </c>
      <c r="B22" s="28" t="s">
        <v>499</v>
      </c>
      <c r="C22" s="28" t="s">
        <v>500</v>
      </c>
      <c r="D22" s="27" t="s">
        <v>491</v>
      </c>
      <c r="E22" s="28" t="s">
        <v>501</v>
      </c>
      <c r="F22" s="27" t="s">
        <v>449</v>
      </c>
    </row>
    <row r="23" spans="1:6" ht="151.19999999999999" customHeight="1" x14ac:dyDescent="0.3">
      <c r="A23" s="27">
        <f t="shared" si="0"/>
        <v>19</v>
      </c>
      <c r="B23" s="28" t="s">
        <v>480</v>
      </c>
      <c r="C23" s="28" t="s">
        <v>502</v>
      </c>
      <c r="D23" s="27" t="s">
        <v>491</v>
      </c>
      <c r="E23" s="28" t="s">
        <v>503</v>
      </c>
      <c r="F23" s="27" t="s">
        <v>449</v>
      </c>
    </row>
    <row r="24" spans="1:6" ht="88.2" customHeight="1" x14ac:dyDescent="0.3">
      <c r="A24" s="27">
        <f t="shared" si="0"/>
        <v>20</v>
      </c>
      <c r="B24" s="28" t="s">
        <v>504</v>
      </c>
      <c r="C24" s="28" t="s">
        <v>505</v>
      </c>
      <c r="D24" s="27" t="s">
        <v>491</v>
      </c>
      <c r="E24" s="28" t="s">
        <v>506</v>
      </c>
      <c r="F24" s="27" t="s">
        <v>449</v>
      </c>
    </row>
    <row r="25" spans="1:6" ht="113.4" customHeight="1" x14ac:dyDescent="0.3">
      <c r="A25" s="27">
        <f t="shared" si="0"/>
        <v>21</v>
      </c>
      <c r="B25" s="28" t="s">
        <v>507</v>
      </c>
      <c r="C25" s="28" t="s">
        <v>508</v>
      </c>
      <c r="D25" s="27" t="s">
        <v>491</v>
      </c>
      <c r="E25" s="28" t="s">
        <v>509</v>
      </c>
      <c r="F25" s="27" t="s">
        <v>449</v>
      </c>
    </row>
    <row r="26" spans="1:6" ht="88.2" customHeight="1" x14ac:dyDescent="0.3">
      <c r="A26" s="27">
        <f t="shared" si="0"/>
        <v>22</v>
      </c>
      <c r="B26" s="28" t="s">
        <v>510</v>
      </c>
      <c r="C26" s="28" t="s">
        <v>511</v>
      </c>
      <c r="D26" s="27" t="s">
        <v>491</v>
      </c>
      <c r="E26" s="28" t="s">
        <v>512</v>
      </c>
      <c r="F26" s="27" t="s">
        <v>449</v>
      </c>
    </row>
    <row r="27" spans="1:6" ht="113.4" customHeight="1" x14ac:dyDescent="0.3">
      <c r="A27" s="27">
        <f t="shared" si="0"/>
        <v>23</v>
      </c>
      <c r="B27" s="28" t="s">
        <v>513</v>
      </c>
      <c r="C27" s="28" t="s">
        <v>514</v>
      </c>
      <c r="D27" s="27" t="s">
        <v>491</v>
      </c>
      <c r="E27" s="28" t="s">
        <v>515</v>
      </c>
      <c r="F27" s="27" t="s">
        <v>449</v>
      </c>
    </row>
    <row r="28" spans="1:6" ht="100.8" customHeight="1" x14ac:dyDescent="0.3">
      <c r="A28" s="27">
        <f t="shared" si="0"/>
        <v>24</v>
      </c>
      <c r="B28" s="28" t="s">
        <v>516</v>
      </c>
      <c r="C28" s="28" t="s">
        <v>517</v>
      </c>
      <c r="D28" s="27" t="s">
        <v>491</v>
      </c>
      <c r="E28" s="28" t="s">
        <v>518</v>
      </c>
      <c r="F28" s="27" t="s">
        <v>449</v>
      </c>
    </row>
    <row r="29" spans="1:6" ht="75.599999999999994" customHeight="1" x14ac:dyDescent="0.3">
      <c r="A29" s="27">
        <f t="shared" si="0"/>
        <v>25</v>
      </c>
      <c r="B29" s="28" t="s">
        <v>519</v>
      </c>
      <c r="C29" s="28" t="s">
        <v>520</v>
      </c>
      <c r="D29" s="27" t="s">
        <v>521</v>
      </c>
      <c r="E29" s="28" t="s">
        <v>522</v>
      </c>
      <c r="F29" s="27" t="s">
        <v>449</v>
      </c>
    </row>
    <row r="30" spans="1:6" ht="88.2" customHeight="1" x14ac:dyDescent="0.3">
      <c r="A30" s="27">
        <f t="shared" si="0"/>
        <v>26</v>
      </c>
      <c r="B30" s="28" t="s">
        <v>523</v>
      </c>
      <c r="C30" s="28" t="s">
        <v>524</v>
      </c>
      <c r="D30" s="27" t="s">
        <v>521</v>
      </c>
      <c r="E30" s="28" t="s">
        <v>525</v>
      </c>
      <c r="F30" s="27" t="s">
        <v>449</v>
      </c>
    </row>
    <row r="31" spans="1:6" ht="88.2" customHeight="1" x14ac:dyDescent="0.3">
      <c r="A31" s="27">
        <f t="shared" si="0"/>
        <v>27</v>
      </c>
      <c r="B31" s="28" t="s">
        <v>526</v>
      </c>
      <c r="C31" s="28" t="s">
        <v>527</v>
      </c>
      <c r="D31" s="27" t="s">
        <v>521</v>
      </c>
      <c r="E31" s="28" t="s">
        <v>528</v>
      </c>
      <c r="F31" s="27" t="s">
        <v>529</v>
      </c>
    </row>
    <row r="32" spans="1:6" ht="113.4" customHeight="1" x14ac:dyDescent="0.3">
      <c r="A32" s="27">
        <f t="shared" si="0"/>
        <v>28</v>
      </c>
      <c r="B32" s="28" t="s">
        <v>530</v>
      </c>
      <c r="C32" s="28" t="s">
        <v>531</v>
      </c>
      <c r="D32" s="27" t="s">
        <v>521</v>
      </c>
      <c r="E32" s="28" t="s">
        <v>532</v>
      </c>
      <c r="F32" s="27" t="s">
        <v>529</v>
      </c>
    </row>
    <row r="33" spans="1:6" ht="75.599999999999994" customHeight="1" x14ac:dyDescent="0.3">
      <c r="A33" s="27">
        <f t="shared" si="0"/>
        <v>29</v>
      </c>
      <c r="B33" s="28" t="s">
        <v>533</v>
      </c>
      <c r="C33" s="28" t="s">
        <v>534</v>
      </c>
      <c r="D33" s="27" t="s">
        <v>521</v>
      </c>
      <c r="E33" s="28" t="s">
        <v>535</v>
      </c>
      <c r="F33" s="27" t="s">
        <v>529</v>
      </c>
    </row>
    <row r="34" spans="1:6" ht="88.2" customHeight="1" x14ac:dyDescent="0.3">
      <c r="A34" s="27">
        <f t="shared" si="0"/>
        <v>30</v>
      </c>
      <c r="B34" s="28" t="s">
        <v>536</v>
      </c>
      <c r="C34" s="28" t="s">
        <v>537</v>
      </c>
      <c r="D34" s="27" t="s">
        <v>521</v>
      </c>
      <c r="E34" s="28" t="s">
        <v>538</v>
      </c>
      <c r="F34" s="27" t="s">
        <v>529</v>
      </c>
    </row>
    <row r="35" spans="1:6" ht="88.2" customHeight="1" x14ac:dyDescent="0.3">
      <c r="A35" s="27">
        <f t="shared" si="0"/>
        <v>31</v>
      </c>
      <c r="B35" s="28" t="s">
        <v>539</v>
      </c>
      <c r="C35" s="28" t="s">
        <v>540</v>
      </c>
      <c r="D35" s="27" t="s">
        <v>521</v>
      </c>
      <c r="E35" s="28" t="s">
        <v>541</v>
      </c>
      <c r="F35" s="27" t="s">
        <v>449</v>
      </c>
    </row>
  </sheetData>
  <autoFilter ref="A4:F35" xr:uid="{00000000-0009-0000-0000-000004000000}"/>
  <mergeCells count="2">
    <mergeCell ref="A2:F2"/>
    <mergeCell ref="A1:F1"/>
  </mergeCells>
  <dataValidations count="2">
    <dataValidation type="list" allowBlank="1" sqref="D5:D35" xr:uid="{00000000-0002-0000-0400-000000000000}">
      <formula1>"Low,Medium,High,Critical"</formula1>
      <formula2>0</formula2>
    </dataValidation>
    <dataValidation type="list" allowBlank="1" sqref="F5:F35"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customHeight="1" x14ac:dyDescent="0.4">
      <c r="B2" s="2" t="s">
        <v>26</v>
      </c>
    </row>
    <row r="3" spans="2:3" ht="27.75" customHeight="1" x14ac:dyDescent="0.3">
      <c r="B3" s="1" t="s">
        <v>542</v>
      </c>
    </row>
    <row r="5" spans="2:3" x14ac:dyDescent="0.3">
      <c r="B5" s="15" t="s">
        <v>543</v>
      </c>
      <c r="C5" s="5">
        <f>COUNTA('1. Data Dictionary'!B4,'1. Data Dictionary'!B26,'1. Data Dictionary'!B48,'1. Data Dictionary'!B70,'1. Data Dictionary'!B92)</f>
        <v>5</v>
      </c>
    </row>
    <row r="6" spans="2:3" x14ac:dyDescent="0.3">
      <c r="B6" s="15" t="s">
        <v>544</v>
      </c>
      <c r="C6" s="16">
        <f>SUM('1. Data Dictionary'!B11,'1. Data Dictionary'!B33,'1. Data Dictionary'!B55,'1. Data Dictionary'!B77,'1. Data Dictionary'!B99)</f>
        <v>290316</v>
      </c>
    </row>
    <row r="7" spans="2:3" x14ac:dyDescent="0.3">
      <c r="B7" s="15" t="s">
        <v>545</v>
      </c>
      <c r="C7" s="5">
        <f>SUM('1. Data Dictionary'!C11,'1. Data Dictionary'!C33,'1. Data Dictionary'!C55,'1. Data Dictionary'!C77,'1. Data Dictionary'!C99)</f>
        <v>71</v>
      </c>
    </row>
    <row r="8" spans="2:3" x14ac:dyDescent="0.3">
      <c r="B8" s="15" t="s">
        <v>546</v>
      </c>
      <c r="C8" s="5">
        <f>COUNTIF('3. Data Quality Log'!F5:F35,"Open")</f>
        <v>27</v>
      </c>
    </row>
    <row r="10" spans="2:3" ht="39.75" customHeight="1" x14ac:dyDescent="0.3">
      <c r="B10" s="3" t="s">
        <v>547</v>
      </c>
      <c r="C10" s="17" t="s">
        <v>548</v>
      </c>
    </row>
    <row r="11" spans="2:3" ht="39.75" customHeight="1" x14ac:dyDescent="0.3">
      <c r="B11" s="3" t="s">
        <v>549</v>
      </c>
      <c r="C11" s="17"/>
    </row>
    <row r="12" spans="2:3" ht="39.75" customHeight="1" x14ac:dyDescent="0.3">
      <c r="B12" s="3" t="s">
        <v>550</v>
      </c>
      <c r="C12" s="17" t="s">
        <v>551</v>
      </c>
    </row>
    <row r="13" spans="2:3" ht="39.75" customHeight="1" x14ac:dyDescent="0.3">
      <c r="B13" s="3" t="s">
        <v>552</v>
      </c>
      <c r="C13" s="17" t="s">
        <v>553</v>
      </c>
    </row>
    <row r="14" spans="2:3" ht="39.75" customHeight="1" x14ac:dyDescent="0.3">
      <c r="B14" s="3" t="s">
        <v>554</v>
      </c>
      <c r="C14" s="17"/>
    </row>
    <row r="16" spans="2:3" x14ac:dyDescent="0.3">
      <c r="B16" s="15" t="s">
        <v>555</v>
      </c>
      <c r="C16" s="18"/>
    </row>
    <row r="17" spans="2:3" x14ac:dyDescent="0.3">
      <c r="B17" s="15" t="s">
        <v>556</v>
      </c>
      <c r="C17" s="18"/>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Minshan mak</cp:lastModifiedBy>
  <cp:revision>0</cp:revision>
  <dcterms:created xsi:type="dcterms:W3CDTF">2026-08-03T06:53:21Z</dcterms:created>
  <dcterms:modified xsi:type="dcterms:W3CDTF">2026-08-20T04:04:27Z</dcterms:modified>
  <dc:language>en-US</dc:language>
</cp:coreProperties>
</file>